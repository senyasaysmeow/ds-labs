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TATISTIQUES\Sales\2021\Q2 2021\"/>
    </mc:Choice>
  </mc:AlternateContent>
  <xr:revisionPtr revIDLastSave="0" documentId="13_ncr:1_{0A2E6DB4-2A45-4501-9B21-F725116D123C}" xr6:coauthVersionLast="45" xr6:coauthVersionMax="47" xr10:uidLastSave="{00000000-0000-0000-0000-000000000000}"/>
  <bookViews>
    <workbookView xWindow="-60" yWindow="-60" windowWidth="20610" windowHeight="10980" tabRatio="635" xr2:uid="{20F16CC2-91CF-4D8B-BF11-9D73FCE5AAF2}"/>
  </bookViews>
  <sheets>
    <sheet name="Sales registrations" sheetId="69" r:id="rId1"/>
    <sheet name="Australia" sheetId="24" r:id="rId2"/>
    <sheet name="Austria" sheetId="42" r:id="rId3"/>
    <sheet name="Belgium" sheetId="39" r:id="rId4"/>
    <sheet name="Brazil" sheetId="36" r:id="rId5"/>
    <sheet name="Bulgaria" sheetId="62" r:id="rId6"/>
    <sheet name="China" sheetId="67" r:id="rId7"/>
    <sheet name="Croatia" sheetId="44" r:id="rId8"/>
    <sheet name="Finland" sheetId="45" r:id="rId9"/>
    <sheet name="France" sheetId="40" r:id="rId10"/>
    <sheet name="Germany" sheetId="57" r:id="rId11"/>
    <sheet name="India " sheetId="14" r:id="rId12"/>
    <sheet name="Indonesia" sheetId="46" r:id="rId13"/>
    <sheet name="Israel" sheetId="68" r:id="rId14"/>
    <sheet name="Italy" sheetId="64" r:id="rId15"/>
    <sheet name="Japan " sheetId="30" r:id="rId16"/>
    <sheet name="Kazakhstan" sheetId="47" r:id="rId17"/>
    <sheet name="Korea" sheetId="60" r:id="rId18"/>
    <sheet name="Netherlands" sheetId="48" r:id="rId19"/>
    <sheet name="Norway" sheetId="49" r:id="rId20"/>
    <sheet name="Portugal" sheetId="32" r:id="rId21"/>
    <sheet name="Romania" sheetId="28" r:id="rId22"/>
    <sheet name="Russia" sheetId="34" r:id="rId23"/>
    <sheet name="South Africa" sheetId="58" r:id="rId24"/>
    <sheet name="Spain" sheetId="51" r:id="rId25"/>
    <sheet name="Sweden" sheetId="59" r:id="rId26"/>
    <sheet name="Switzerland" sheetId="33" r:id="rId27"/>
    <sheet name="Thailand" sheetId="65" r:id="rId28"/>
    <sheet name="Turkey" sheetId="23" r:id="rId29"/>
    <sheet name="UK" sheetId="55" r:id="rId30"/>
    <sheet name="Ukraine" sheetId="54" r:id="rId31"/>
    <sheet name="USA" sheetId="38" r:id="rId32"/>
  </sheets>
  <externalReferences>
    <externalReference r:id="rId3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69" l="1"/>
  <c r="BJ7" i="38"/>
  <c r="BJ8" i="38"/>
  <c r="BJ9" i="38"/>
  <c r="BJ6" i="38"/>
  <c r="BM7" i="38"/>
  <c r="BL7" i="38"/>
  <c r="BK7" i="38"/>
  <c r="BK7" i="54"/>
  <c r="BK8" i="54"/>
  <c r="BK9" i="54"/>
  <c r="BK6" i="54"/>
  <c r="BK7" i="55"/>
  <c r="BK8" i="55"/>
  <c r="BK9" i="55"/>
  <c r="BK10" i="55"/>
  <c r="BK6" i="55"/>
  <c r="BK7" i="23"/>
  <c r="BK8" i="23"/>
  <c r="BK9" i="23"/>
  <c r="BK10" i="23"/>
  <c r="BK6" i="23"/>
  <c r="BK7" i="65"/>
  <c r="BK8" i="65"/>
  <c r="BK6" i="65"/>
  <c r="BK7" i="33"/>
  <c r="BK8" i="33"/>
  <c r="BK9" i="33"/>
  <c r="BK10" i="33"/>
  <c r="BK6" i="33"/>
  <c r="BK7" i="59"/>
  <c r="BK8" i="59"/>
  <c r="BK9" i="59"/>
  <c r="BK10" i="59"/>
  <c r="BK6" i="59"/>
  <c r="BK7" i="51"/>
  <c r="BK8" i="51"/>
  <c r="BK9" i="51"/>
  <c r="BK10" i="51"/>
  <c r="BK6" i="51"/>
  <c r="BK7" i="58"/>
  <c r="BK8" i="58"/>
  <c r="BK9" i="58"/>
  <c r="BK10" i="58"/>
  <c r="BK6" i="58"/>
  <c r="BM7" i="58"/>
  <c r="BK7" i="34"/>
  <c r="BK8" i="34"/>
  <c r="BK9" i="34"/>
  <c r="BK10" i="34"/>
  <c r="BK6" i="34"/>
  <c r="BK7" i="28"/>
  <c r="BK8" i="28"/>
  <c r="BK9" i="28"/>
  <c r="BK10" i="28"/>
  <c r="BK6" i="28"/>
  <c r="BK7" i="32"/>
  <c r="BK8" i="32"/>
  <c r="BK9" i="32"/>
  <c r="BK10" i="32"/>
  <c r="BK6" i="32"/>
  <c r="BK7" i="49"/>
  <c r="BK8" i="49"/>
  <c r="BK9" i="49"/>
  <c r="BK10" i="49"/>
  <c r="BK6" i="49"/>
  <c r="BN7" i="48"/>
  <c r="BN8" i="48"/>
  <c r="BN9" i="48"/>
  <c r="BN6" i="48"/>
  <c r="BK7" i="48"/>
  <c r="BL7" i="48"/>
  <c r="BM7" i="48"/>
  <c r="BK8" i="48"/>
  <c r="BL8" i="48"/>
  <c r="BM8" i="48"/>
  <c r="BK9" i="48"/>
  <c r="BL9" i="48"/>
  <c r="BM9" i="48"/>
  <c r="BL6" i="48"/>
  <c r="BM6" i="48"/>
  <c r="BK6" i="48"/>
  <c r="BK10" i="48"/>
  <c r="BK7" i="60"/>
  <c r="BK10" i="60"/>
  <c r="BK6" i="60"/>
  <c r="BK7" i="47"/>
  <c r="BK8" i="47"/>
  <c r="BK6" i="47"/>
  <c r="BN7" i="14"/>
  <c r="BN8" i="14"/>
  <c r="BN9" i="14"/>
  <c r="BN10" i="14"/>
  <c r="BN6" i="14"/>
  <c r="BM6" i="14"/>
  <c r="BM7" i="14"/>
  <c r="BM8" i="14"/>
  <c r="BM9" i="14"/>
  <c r="BM10" i="14"/>
  <c r="BL6" i="14"/>
  <c r="BL7" i="14"/>
  <c r="BL8" i="14"/>
  <c r="BL9" i="14"/>
  <c r="BL10" i="14"/>
  <c r="BK7" i="14"/>
  <c r="BK8" i="14"/>
  <c r="BK9" i="14"/>
  <c r="BK10" i="14"/>
  <c r="BK6" i="14"/>
  <c r="BK7" i="40"/>
  <c r="BK8" i="40"/>
  <c r="BK9" i="40"/>
  <c r="BK10" i="40"/>
  <c r="BK6" i="40"/>
  <c r="BM6" i="44"/>
  <c r="BN6" i="44" s="1"/>
  <c r="BL6" i="44"/>
  <c r="BK7" i="62"/>
  <c r="BK8" i="62"/>
  <c r="BK9" i="62"/>
  <c r="BK10" i="62"/>
  <c r="BK6" i="62"/>
  <c r="BK7" i="36"/>
  <c r="BK8" i="36"/>
  <c r="BK9" i="36"/>
  <c r="BK10" i="36"/>
  <c r="BK6" i="36"/>
  <c r="BK7" i="42"/>
  <c r="BK8" i="42"/>
  <c r="BK9" i="42"/>
  <c r="BK10" i="42"/>
  <c r="BK6" i="42"/>
  <c r="BK7" i="24"/>
  <c r="BK8" i="24"/>
  <c r="BK9" i="24"/>
  <c r="BK10" i="24"/>
  <c r="BK6" i="24"/>
  <c r="AF7" i="60"/>
  <c r="AF6" i="60"/>
  <c r="Y7" i="60"/>
  <c r="Y6" i="60"/>
  <c r="U7" i="60"/>
  <c r="U6" i="60"/>
  <c r="F7" i="60"/>
  <c r="AF7" i="65" l="1"/>
  <c r="AF6" i="65"/>
  <c r="Y7" i="65"/>
  <c r="Y6" i="65"/>
  <c r="U7" i="65"/>
  <c r="U6" i="65"/>
  <c r="AF7" i="44"/>
  <c r="AF8" i="44"/>
  <c r="AF6" i="44"/>
  <c r="AF7" i="34"/>
  <c r="AF8" i="34"/>
  <c r="AF9" i="34"/>
  <c r="AF6" i="34"/>
  <c r="AD6" i="65"/>
  <c r="AE6" i="65"/>
  <c r="AD7" i="65"/>
  <c r="AE7" i="65"/>
  <c r="AC6" i="65"/>
  <c r="AC7" i="65"/>
  <c r="AC8" i="65"/>
  <c r="AB8" i="65"/>
  <c r="AF8" i="65" s="1"/>
  <c r="AA8" i="65"/>
  <c r="Z8" i="65"/>
  <c r="W8" i="65"/>
  <c r="X8" i="65"/>
  <c r="Y8" i="65" s="1"/>
  <c r="V8" i="65"/>
  <c r="T8" i="65"/>
  <c r="S8" i="65"/>
  <c r="AD8" i="65" s="1"/>
  <c r="R8" i="65"/>
  <c r="AB10" i="34"/>
  <c r="X10" i="34"/>
  <c r="Y7" i="34"/>
  <c r="Y8" i="34"/>
  <c r="Y9" i="34"/>
  <c r="Y6" i="34"/>
  <c r="AE6" i="60"/>
  <c r="AE7" i="60"/>
  <c r="AD6" i="60"/>
  <c r="AD7" i="60"/>
  <c r="AC7" i="60"/>
  <c r="AC6" i="60"/>
  <c r="AB10" i="60"/>
  <c r="AA10" i="60"/>
  <c r="Z10" i="60"/>
  <c r="T10" i="60"/>
  <c r="X10" i="60"/>
  <c r="W10" i="60"/>
  <c r="V10" i="60"/>
  <c r="S10" i="60"/>
  <c r="R10" i="60"/>
  <c r="U8" i="65" l="1"/>
  <c r="Y10" i="60"/>
  <c r="AF10" i="60"/>
  <c r="U10" i="60"/>
  <c r="AE10" i="60"/>
  <c r="AC10" i="60"/>
  <c r="AD10" i="60"/>
  <c r="AE8" i="65"/>
  <c r="AF7" i="45"/>
  <c r="AF8" i="45"/>
  <c r="AF9" i="45"/>
  <c r="AF6" i="45"/>
  <c r="AB10" i="45"/>
  <c r="AB10" i="44"/>
  <c r="AF7" i="39"/>
  <c r="AF8" i="39"/>
  <c r="AF9" i="39"/>
  <c r="AF10" i="39"/>
  <c r="AF6" i="39"/>
  <c r="AB10" i="39"/>
  <c r="AF7" i="42"/>
  <c r="AF8" i="42"/>
  <c r="AF9" i="42"/>
  <c r="AF6" i="42"/>
  <c r="AB10" i="42"/>
  <c r="AB10" i="64"/>
  <c r="AF7" i="64"/>
  <c r="AF8" i="64"/>
  <c r="AF9" i="64"/>
  <c r="AF6" i="64"/>
  <c r="AF7" i="68"/>
  <c r="AF8" i="68"/>
  <c r="AF9" i="68"/>
  <c r="AF6" i="68"/>
  <c r="AB10" i="68"/>
  <c r="AF6" i="14" l="1"/>
  <c r="AD10" i="14"/>
  <c r="AE10" i="14"/>
  <c r="AC10" i="14"/>
  <c r="R10" i="14"/>
  <c r="AB10" i="14"/>
  <c r="Y6" i="14"/>
  <c r="W10" i="14"/>
  <c r="V10" i="14"/>
  <c r="AE7" i="38" l="1"/>
  <c r="AE8" i="38"/>
  <c r="AE6" i="38"/>
  <c r="AC6" i="38"/>
  <c r="AC7" i="38"/>
  <c r="AC8" i="38"/>
  <c r="AB7" i="38"/>
  <c r="AB8" i="38"/>
  <c r="AB6" i="38"/>
  <c r="Z9" i="38"/>
  <c r="AC9" i="38" s="1"/>
  <c r="X7" i="38"/>
  <c r="X8" i="38"/>
  <c r="X6" i="38"/>
  <c r="V9" i="38"/>
  <c r="T7" i="38"/>
  <c r="T8" i="38"/>
  <c r="T6" i="38"/>
  <c r="R9" i="38"/>
  <c r="Y9" i="38"/>
  <c r="U9" i="38"/>
  <c r="Q9" i="38"/>
  <c r="AB9" i="38" s="1"/>
  <c r="AD7" i="38" l="1"/>
  <c r="AD8" i="38"/>
  <c r="AD6" i="38"/>
  <c r="AA9" i="38" l="1"/>
  <c r="AE9" i="38" s="1"/>
  <c r="W9" i="38"/>
  <c r="X9" i="38" s="1"/>
  <c r="S9" i="38"/>
  <c r="T9" i="38" s="1"/>
  <c r="AD9" i="38" l="1"/>
  <c r="AF7" i="46"/>
  <c r="AF6" i="46"/>
  <c r="AB8" i="46"/>
  <c r="AF7" i="23"/>
  <c r="AF8" i="23"/>
  <c r="AF9" i="23"/>
  <c r="AF6" i="23"/>
  <c r="AB10" i="23"/>
  <c r="AF7" i="57"/>
  <c r="AF8" i="57"/>
  <c r="AF9" i="57"/>
  <c r="AF6" i="57"/>
  <c r="AB10" i="57"/>
  <c r="AF7" i="47" l="1"/>
  <c r="AF6" i="47"/>
  <c r="AD6" i="47"/>
  <c r="AE6" i="47"/>
  <c r="AD7" i="47"/>
  <c r="AE7" i="47"/>
  <c r="AC7" i="47"/>
  <c r="AC6" i="47"/>
  <c r="AB8" i="47"/>
  <c r="Y7" i="47"/>
  <c r="Y6" i="47"/>
  <c r="X8" i="47"/>
  <c r="U7" i="47"/>
  <c r="U6" i="47"/>
  <c r="T8" i="47"/>
  <c r="AE8" i="47" s="1"/>
  <c r="AF7" i="36" l="1"/>
  <c r="AF8" i="36"/>
  <c r="AF9" i="36"/>
  <c r="AF6" i="36"/>
  <c r="AB10" i="36"/>
  <c r="AF7" i="54" l="1"/>
  <c r="AF8" i="54"/>
  <c r="AF6" i="54"/>
  <c r="AE6" i="54"/>
  <c r="AE7" i="54"/>
  <c r="AE8" i="54"/>
  <c r="AE9" i="54"/>
  <c r="AD6" i="54"/>
  <c r="AD7" i="54"/>
  <c r="AD8" i="54"/>
  <c r="AC7" i="54"/>
  <c r="AC8" i="54"/>
  <c r="AC6" i="54"/>
  <c r="AB9" i="54"/>
  <c r="Y7" i="54"/>
  <c r="Y8" i="54"/>
  <c r="Y9" i="54"/>
  <c r="Y6" i="54"/>
  <c r="X9" i="54"/>
  <c r="U7" i="54"/>
  <c r="U8" i="54"/>
  <c r="U6" i="54"/>
  <c r="T9" i="54"/>
  <c r="U9" i="54" s="1"/>
  <c r="AA9" i="54"/>
  <c r="AF9" i="54" s="1"/>
  <c r="Z9" i="54"/>
  <c r="W9" i="54"/>
  <c r="V9" i="54"/>
  <c r="AC9" i="54" s="1"/>
  <c r="S9" i="54"/>
  <c r="AD9" i="54" s="1"/>
  <c r="R9" i="54"/>
  <c r="AB10" i="55"/>
  <c r="AF7" i="55"/>
  <c r="AF8" i="55"/>
  <c r="AF9" i="55"/>
  <c r="AF6" i="55"/>
  <c r="AD6" i="55"/>
  <c r="AE6" i="55"/>
  <c r="AD7" i="55"/>
  <c r="AE7" i="55"/>
  <c r="AD8" i="55"/>
  <c r="AE8" i="55"/>
  <c r="AD9" i="55"/>
  <c r="AE9" i="55"/>
  <c r="AC7" i="55"/>
  <c r="AC8" i="55"/>
  <c r="AC9" i="55"/>
  <c r="AC6" i="55"/>
  <c r="AA10" i="55"/>
  <c r="Z10" i="55"/>
  <c r="Y7" i="55"/>
  <c r="Y8" i="55"/>
  <c r="Y9" i="55"/>
  <c r="Y6" i="55"/>
  <c r="V10" i="55"/>
  <c r="X10" i="55"/>
  <c r="Y10" i="55" s="1"/>
  <c r="W10" i="55"/>
  <c r="U7" i="55"/>
  <c r="U8" i="55"/>
  <c r="U9" i="55"/>
  <c r="U6" i="55"/>
  <c r="R10" i="55"/>
  <c r="AC10" i="55" s="1"/>
  <c r="T10" i="55"/>
  <c r="U10" i="55" s="1"/>
  <c r="S10" i="55"/>
  <c r="Y7" i="23"/>
  <c r="Y8" i="23"/>
  <c r="Y9" i="23"/>
  <c r="Y6" i="23"/>
  <c r="X10" i="23"/>
  <c r="U7" i="23"/>
  <c r="U8" i="23"/>
  <c r="U9" i="23"/>
  <c r="U6" i="23"/>
  <c r="AD6" i="23"/>
  <c r="AE6" i="23"/>
  <c r="AD7" i="23"/>
  <c r="AE7" i="23"/>
  <c r="AD8" i="23"/>
  <c r="AE8" i="23"/>
  <c r="AD9" i="23"/>
  <c r="AE9" i="23"/>
  <c r="AC7" i="23"/>
  <c r="AC8" i="23"/>
  <c r="AC9" i="23"/>
  <c r="AC6" i="23"/>
  <c r="AA10" i="23"/>
  <c r="AF10" i="23" s="1"/>
  <c r="Z10" i="23"/>
  <c r="W10" i="23"/>
  <c r="AD10" i="23" s="1"/>
  <c r="V10" i="23"/>
  <c r="T10" i="23"/>
  <c r="S10" i="23"/>
  <c r="R10" i="23"/>
  <c r="AC10" i="23" s="1"/>
  <c r="AC28" i="33"/>
  <c r="AF7" i="33"/>
  <c r="AF8" i="33"/>
  <c r="AF9" i="33"/>
  <c r="AF6" i="33"/>
  <c r="AD6" i="33"/>
  <c r="AE6" i="33"/>
  <c r="AD7" i="33"/>
  <c r="AE7" i="33"/>
  <c r="AD8" i="33"/>
  <c r="AE8" i="33"/>
  <c r="AD9" i="33"/>
  <c r="AE9" i="33"/>
  <c r="AC7" i="33"/>
  <c r="AC8" i="33"/>
  <c r="AC9" i="33"/>
  <c r="AC6" i="33"/>
  <c r="Y7" i="33"/>
  <c r="Y8" i="33"/>
  <c r="Y9" i="33"/>
  <c r="Y6" i="33"/>
  <c r="X10" i="33"/>
  <c r="Y10" i="33" s="1"/>
  <c r="W10" i="33"/>
  <c r="V10" i="33"/>
  <c r="AA10" i="33"/>
  <c r="AB10" i="33"/>
  <c r="Z10" i="33"/>
  <c r="AC10" i="33" s="1"/>
  <c r="R10" i="33"/>
  <c r="AD10" i="55" l="1"/>
  <c r="AE10" i="55"/>
  <c r="U10" i="23"/>
  <c r="AF10" i="33"/>
  <c r="AF10" i="55"/>
  <c r="AE10" i="23"/>
  <c r="Y10" i="23"/>
  <c r="U7" i="33"/>
  <c r="U8" i="33"/>
  <c r="U9" i="33"/>
  <c r="U6" i="33"/>
  <c r="T10" i="33"/>
  <c r="AE10" i="33" s="1"/>
  <c r="S10" i="33"/>
  <c r="AD10" i="33" s="1"/>
  <c r="AB10" i="48"/>
  <c r="AF7" i="48"/>
  <c r="AF8" i="48"/>
  <c r="AF9" i="48"/>
  <c r="AF6" i="48"/>
  <c r="AF7" i="67"/>
  <c r="AF8" i="67"/>
  <c r="AF9" i="67"/>
  <c r="AF6" i="67"/>
  <c r="AB10" i="67"/>
  <c r="U10" i="33" l="1"/>
  <c r="AF7" i="51"/>
  <c r="AF8" i="51"/>
  <c r="AF9" i="51"/>
  <c r="AF6" i="51"/>
  <c r="AB10" i="51"/>
  <c r="AD6" i="51"/>
  <c r="AE6" i="51"/>
  <c r="AD7" i="51"/>
  <c r="AE7" i="51"/>
  <c r="AD8" i="51"/>
  <c r="AE8" i="51"/>
  <c r="AD9" i="51"/>
  <c r="AE9" i="51"/>
  <c r="AC7" i="51"/>
  <c r="AC8" i="51"/>
  <c r="AC9" i="51"/>
  <c r="AC6" i="51"/>
  <c r="Y7" i="51"/>
  <c r="Y8" i="51"/>
  <c r="Y9" i="51"/>
  <c r="Y6" i="51"/>
  <c r="X10" i="51"/>
  <c r="U7" i="51"/>
  <c r="U8" i="51"/>
  <c r="U9" i="51"/>
  <c r="U6" i="51"/>
  <c r="T10" i="51"/>
  <c r="U10" i="51" s="1"/>
  <c r="AA10" i="51"/>
  <c r="AF10" i="51" s="1"/>
  <c r="Z10" i="51"/>
  <c r="W10" i="51"/>
  <c r="V10" i="51"/>
  <c r="AC10" i="51" s="1"/>
  <c r="S10" i="51"/>
  <c r="AD10" i="51" s="1"/>
  <c r="R10" i="51"/>
  <c r="AF7" i="32"/>
  <c r="AF8" i="32"/>
  <c r="AF9" i="32"/>
  <c r="AF6" i="32"/>
  <c r="AB10" i="32"/>
  <c r="AF10" i="32" s="1"/>
  <c r="Y7" i="32"/>
  <c r="Y8" i="32"/>
  <c r="Y9" i="32"/>
  <c r="Y6" i="32"/>
  <c r="X10" i="32"/>
  <c r="U7" i="32"/>
  <c r="U8" i="32"/>
  <c r="U9" i="32"/>
  <c r="U6" i="32"/>
  <c r="T10" i="32"/>
  <c r="AE10" i="32" s="1"/>
  <c r="AD6" i="32"/>
  <c r="AE6" i="32"/>
  <c r="AD7" i="32"/>
  <c r="AE7" i="32"/>
  <c r="AD8" i="32"/>
  <c r="AE8" i="32"/>
  <c r="AD9" i="32"/>
  <c r="AE9" i="32"/>
  <c r="AC7" i="32"/>
  <c r="AC8" i="32"/>
  <c r="AC9" i="32"/>
  <c r="AC6" i="32"/>
  <c r="AA10" i="32"/>
  <c r="Z10" i="32"/>
  <c r="W10" i="32"/>
  <c r="Y10" i="32" s="1"/>
  <c r="V10" i="32"/>
  <c r="AC10" i="32" s="1"/>
  <c r="S10" i="32"/>
  <c r="R10" i="32"/>
  <c r="AD6" i="48"/>
  <c r="AE6" i="48"/>
  <c r="AD7" i="48"/>
  <c r="AE7" i="48"/>
  <c r="AD8" i="48"/>
  <c r="AE8" i="48"/>
  <c r="AD9" i="48"/>
  <c r="AE9" i="48"/>
  <c r="AC7" i="48"/>
  <c r="AC8" i="48"/>
  <c r="AC9" i="48"/>
  <c r="AC10" i="48"/>
  <c r="AC6" i="48"/>
  <c r="AA10" i="48"/>
  <c r="AF10" i="48" s="1"/>
  <c r="U7" i="48"/>
  <c r="U8" i="48"/>
  <c r="U9" i="48"/>
  <c r="U6" i="48"/>
  <c r="T10" i="48"/>
  <c r="U10" i="48" s="1"/>
  <c r="S10" i="48"/>
  <c r="Y7" i="48"/>
  <c r="Y8" i="48"/>
  <c r="Y9" i="48"/>
  <c r="Y6" i="48"/>
  <c r="X10" i="48"/>
  <c r="Y10" i="48" s="1"/>
  <c r="W10" i="48"/>
  <c r="Z10" i="48"/>
  <c r="V10" i="48"/>
  <c r="R10" i="48"/>
  <c r="AF7" i="28"/>
  <c r="AF8" i="28"/>
  <c r="AF9" i="28"/>
  <c r="AF6" i="28"/>
  <c r="AE6" i="28"/>
  <c r="AE7" i="28"/>
  <c r="AE8" i="28"/>
  <c r="AE9" i="28"/>
  <c r="AD7" i="28"/>
  <c r="AD8" i="28"/>
  <c r="AD9" i="28"/>
  <c r="AD6" i="28"/>
  <c r="AC7" i="28"/>
  <c r="AC8" i="28"/>
  <c r="AC9" i="28"/>
  <c r="AC6" i="28"/>
  <c r="AA10" i="28"/>
  <c r="Z10" i="28"/>
  <c r="V10" i="28"/>
  <c r="R10" i="28"/>
  <c r="AE10" i="51" l="1"/>
  <c r="AC10" i="28"/>
  <c r="AD10" i="32"/>
  <c r="U10" i="32"/>
  <c r="AE10" i="48"/>
  <c r="AD10" i="48"/>
  <c r="Y10" i="51"/>
  <c r="Y7" i="28" l="1"/>
  <c r="Y8" i="28"/>
  <c r="Y9" i="28"/>
  <c r="Y6" i="28"/>
  <c r="W10" i="28"/>
  <c r="U7" i="28"/>
  <c r="U8" i="28"/>
  <c r="U9" i="28"/>
  <c r="U6" i="28"/>
  <c r="T10" i="28"/>
  <c r="S10" i="28"/>
  <c r="X10" i="28"/>
  <c r="Y10" i="28" s="1"/>
  <c r="AB10" i="28"/>
  <c r="AF10" i="28" s="1"/>
  <c r="AE7" i="46"/>
  <c r="AD7" i="46"/>
  <c r="AD6" i="46"/>
  <c r="AE6" i="46"/>
  <c r="AC7" i="46"/>
  <c r="AC6" i="46"/>
  <c r="Y7" i="46"/>
  <c r="Y6" i="46"/>
  <c r="X8" i="46"/>
  <c r="U7" i="46"/>
  <c r="U6" i="46"/>
  <c r="AF8" i="30"/>
  <c r="AF9" i="30"/>
  <c r="AF6" i="30"/>
  <c r="AB10" i="30"/>
  <c r="AF7" i="62"/>
  <c r="AF8" i="62"/>
  <c r="AF9" i="62"/>
  <c r="AF6" i="62"/>
  <c r="AD10" i="28" l="1"/>
  <c r="U10" i="28"/>
  <c r="AE10" i="28"/>
  <c r="Y10" i="67"/>
  <c r="X10" i="67"/>
  <c r="AA8" i="47" l="1"/>
  <c r="AF8" i="47" s="1"/>
  <c r="Z8" i="47"/>
  <c r="W8" i="47"/>
  <c r="Y8" i="47" s="1"/>
  <c r="V8" i="47"/>
  <c r="S8" i="47"/>
  <c r="R8" i="47"/>
  <c r="AC8" i="47" s="1"/>
  <c r="AE7" i="68"/>
  <c r="AE8" i="68"/>
  <c r="AE9" i="68"/>
  <c r="AD7" i="68"/>
  <c r="AD8" i="68"/>
  <c r="AD9" i="68"/>
  <c r="AE6" i="68"/>
  <c r="AD6" i="68"/>
  <c r="AC7" i="68"/>
  <c r="AC8" i="68"/>
  <c r="AC9" i="68"/>
  <c r="AC6" i="68"/>
  <c r="T10" i="68"/>
  <c r="U7" i="68"/>
  <c r="U8" i="68"/>
  <c r="U9" i="68"/>
  <c r="U6" i="68"/>
  <c r="Y7" i="68"/>
  <c r="Y8" i="68"/>
  <c r="Y9" i="68"/>
  <c r="X10" i="68"/>
  <c r="Y6" i="68"/>
  <c r="AA10" i="68"/>
  <c r="AF10" i="68" s="1"/>
  <c r="Z10" i="68"/>
  <c r="S10" i="68"/>
  <c r="U10" i="68" s="1"/>
  <c r="R10" i="68"/>
  <c r="W10" i="68"/>
  <c r="V10" i="68"/>
  <c r="AC10" i="68" s="1"/>
  <c r="AA8" i="46"/>
  <c r="AF8" i="46" s="1"/>
  <c r="Z8" i="46"/>
  <c r="W8" i="46"/>
  <c r="Y8" i="46" s="1"/>
  <c r="V8" i="46"/>
  <c r="S8" i="46"/>
  <c r="AD8" i="46" s="1"/>
  <c r="T8" i="46"/>
  <c r="R8" i="46"/>
  <c r="AA10" i="57"/>
  <c r="AF10" i="57" s="1"/>
  <c r="Z10" i="57"/>
  <c r="AA10" i="64"/>
  <c r="AF10" i="64" s="1"/>
  <c r="Z10" i="64"/>
  <c r="V10" i="64"/>
  <c r="R10" i="64"/>
  <c r="AD8" i="47" l="1"/>
  <c r="U8" i="47"/>
  <c r="AD10" i="68"/>
  <c r="AC8" i="46"/>
  <c r="U8" i="46"/>
  <c r="AE8" i="46"/>
  <c r="AE10" i="68"/>
  <c r="Y10" i="68"/>
  <c r="AC7" i="64" l="1"/>
  <c r="AC8" i="64"/>
  <c r="AC9" i="64"/>
  <c r="AC10" i="64"/>
  <c r="AC6" i="64"/>
  <c r="AE7" i="64"/>
  <c r="AE8" i="64"/>
  <c r="AE9" i="64"/>
  <c r="AE6" i="64"/>
  <c r="AD7" i="64"/>
  <c r="AD8" i="64"/>
  <c r="AD9" i="64"/>
  <c r="AD6" i="64"/>
  <c r="Y7" i="64"/>
  <c r="Y8" i="64"/>
  <c r="Y9" i="64"/>
  <c r="Y6" i="64"/>
  <c r="U7" i="64"/>
  <c r="U8" i="64"/>
  <c r="U9" i="64"/>
  <c r="U10" i="64"/>
  <c r="U6" i="64"/>
  <c r="T10" i="64"/>
  <c r="AE10" i="64" s="1"/>
  <c r="S10" i="64"/>
  <c r="AD10" i="64" s="1"/>
  <c r="X10" i="64"/>
  <c r="Y10" i="64" s="1"/>
  <c r="W10" i="64"/>
  <c r="AF7" i="24"/>
  <c r="AF8" i="24"/>
  <c r="AF9" i="24"/>
  <c r="AF6" i="24"/>
  <c r="AB10" i="24"/>
  <c r="Z10" i="59"/>
  <c r="V10" i="59"/>
  <c r="R10" i="59"/>
  <c r="AC7" i="59"/>
  <c r="AC8" i="59"/>
  <c r="AC9" i="59"/>
  <c r="AE7" i="59"/>
  <c r="AE8" i="59"/>
  <c r="AE9" i="59"/>
  <c r="AD7" i="59"/>
  <c r="AD8" i="59"/>
  <c r="AD9" i="59"/>
  <c r="AE6" i="59"/>
  <c r="AD6" i="59"/>
  <c r="AC6" i="59"/>
  <c r="AF7" i="59"/>
  <c r="AF8" i="59"/>
  <c r="AF9" i="59"/>
  <c r="AF6" i="59"/>
  <c r="Y7" i="59"/>
  <c r="Y8" i="59"/>
  <c r="Y9" i="59"/>
  <c r="Y6" i="59"/>
  <c r="U7" i="59"/>
  <c r="U8" i="59"/>
  <c r="U9" i="59"/>
  <c r="U6" i="59"/>
  <c r="AB10" i="59"/>
  <c r="AF10" i="59" s="1"/>
  <c r="AA10" i="59"/>
  <c r="X10" i="59"/>
  <c r="Y10" i="59" s="1"/>
  <c r="W10" i="59"/>
  <c r="T10" i="59"/>
  <c r="AE10" i="59" s="1"/>
  <c r="S10" i="59"/>
  <c r="AD10" i="59" s="1"/>
  <c r="U10" i="59" l="1"/>
  <c r="AC10" i="59"/>
  <c r="Z10" i="49"/>
  <c r="V10" i="49"/>
  <c r="R10" i="49"/>
  <c r="AC7" i="49" l="1"/>
  <c r="AC8" i="49"/>
  <c r="AC9" i="49"/>
  <c r="AC10" i="49"/>
  <c r="AE7" i="49"/>
  <c r="AE8" i="49"/>
  <c r="AE9" i="49"/>
  <c r="AD7" i="49"/>
  <c r="AD8" i="49"/>
  <c r="AD9" i="49"/>
  <c r="AE6" i="49"/>
  <c r="AD6" i="49"/>
  <c r="AC6" i="49"/>
  <c r="AF7" i="49"/>
  <c r="AF8" i="49"/>
  <c r="AF9" i="49"/>
  <c r="AF6" i="49"/>
  <c r="Y7" i="49"/>
  <c r="Y8" i="49"/>
  <c r="Y9" i="49"/>
  <c r="Y10" i="49"/>
  <c r="Y6" i="49"/>
  <c r="U7" i="49"/>
  <c r="U8" i="49"/>
  <c r="U9" i="49"/>
  <c r="U6" i="49"/>
  <c r="AB10" i="49"/>
  <c r="AF10" i="49" s="1"/>
  <c r="AA10" i="49"/>
  <c r="AD10" i="49" s="1"/>
  <c r="X10" i="49"/>
  <c r="W10" i="49"/>
  <c r="S10" i="49"/>
  <c r="T10" i="49"/>
  <c r="U10" i="49" s="1"/>
  <c r="AE10" i="49" l="1"/>
  <c r="AF7" i="40"/>
  <c r="AF8" i="40"/>
  <c r="AF9" i="40"/>
  <c r="AF6" i="40"/>
  <c r="AB10" i="40"/>
  <c r="AC7" i="57"/>
  <c r="AC8" i="57"/>
  <c r="AC9" i="57"/>
  <c r="AC6" i="57"/>
  <c r="AE7" i="57"/>
  <c r="AE8" i="57"/>
  <c r="AE9" i="57"/>
  <c r="AE6" i="57"/>
  <c r="AD7" i="57"/>
  <c r="AD8" i="57"/>
  <c r="AD9" i="57"/>
  <c r="AD6" i="57"/>
  <c r="Y7" i="57"/>
  <c r="Y8" i="57"/>
  <c r="Y9" i="57"/>
  <c r="Y6" i="57"/>
  <c r="U7" i="57"/>
  <c r="U8" i="57"/>
  <c r="U9" i="57"/>
  <c r="U6" i="57"/>
  <c r="W10" i="57"/>
  <c r="X10" i="57"/>
  <c r="Y10" i="57" s="1"/>
  <c r="V10" i="57"/>
  <c r="S10" i="57"/>
  <c r="AD10" i="57" s="1"/>
  <c r="T10" i="57"/>
  <c r="U10" i="57" s="1"/>
  <c r="R10" i="57"/>
  <c r="AC10" i="57" s="1"/>
  <c r="AF7" i="58"/>
  <c r="AF8" i="58"/>
  <c r="AF9" i="58"/>
  <c r="AF6" i="58"/>
  <c r="AC7" i="58"/>
  <c r="AC8" i="58"/>
  <c r="AC9" i="58"/>
  <c r="AC6" i="58"/>
  <c r="V10" i="58"/>
  <c r="R10" i="58"/>
  <c r="AE10" i="57" l="1"/>
  <c r="AE7" i="58"/>
  <c r="AE8" i="58"/>
  <c r="AE9" i="58"/>
  <c r="AE6" i="58"/>
  <c r="AD7" i="58"/>
  <c r="AD8" i="58"/>
  <c r="AD9" i="58"/>
  <c r="AD6" i="58"/>
  <c r="Y7" i="58"/>
  <c r="Y8" i="58"/>
  <c r="Y9" i="58"/>
  <c r="Y10" i="58"/>
  <c r="Y6" i="58"/>
  <c r="W10" i="58"/>
  <c r="Z10" i="58"/>
  <c r="AC10" i="58" s="1"/>
  <c r="U7" i="58"/>
  <c r="U8" i="58"/>
  <c r="U9" i="58"/>
  <c r="U6" i="58"/>
  <c r="T10" i="58"/>
  <c r="U10" i="58" s="1"/>
  <c r="S10" i="58"/>
  <c r="AD10" i="58" s="1"/>
  <c r="X10" i="58"/>
  <c r="AB10" i="58"/>
  <c r="AA10" i="58"/>
  <c r="AE10" i="58" l="1"/>
  <c r="AF10" i="58"/>
  <c r="AE7" i="40"/>
  <c r="AE8" i="40"/>
  <c r="AE9" i="40"/>
  <c r="AE10" i="40"/>
  <c r="AE6" i="40"/>
  <c r="AD7" i="40"/>
  <c r="AD8" i="40"/>
  <c r="AD9" i="40"/>
  <c r="AD6" i="40"/>
  <c r="AC7" i="40"/>
  <c r="AC8" i="40"/>
  <c r="AC9" i="40"/>
  <c r="AC6" i="40"/>
  <c r="AA10" i="40"/>
  <c r="Z10" i="40"/>
  <c r="Y7" i="40"/>
  <c r="Y8" i="40"/>
  <c r="Y9" i="40"/>
  <c r="Y6" i="40"/>
  <c r="V10" i="40"/>
  <c r="X10" i="40"/>
  <c r="W10" i="40"/>
  <c r="Y10" i="40" s="1"/>
  <c r="U7" i="40"/>
  <c r="U8" i="40"/>
  <c r="U9" i="40"/>
  <c r="U6" i="40"/>
  <c r="R10" i="40"/>
  <c r="AC10" i="40" s="1"/>
  <c r="T10" i="40"/>
  <c r="S10" i="40"/>
  <c r="U10" i="40" s="1"/>
  <c r="AE7" i="45"/>
  <c r="AE8" i="45"/>
  <c r="AE9" i="45"/>
  <c r="AE10" i="45"/>
  <c r="AE6" i="45"/>
  <c r="AD7" i="45"/>
  <c r="AD8" i="45"/>
  <c r="AD9" i="45"/>
  <c r="AD6" i="45"/>
  <c r="AC7" i="45"/>
  <c r="AC8" i="45"/>
  <c r="AC9" i="45"/>
  <c r="AC6" i="45"/>
  <c r="AA10" i="45"/>
  <c r="Z10" i="45"/>
  <c r="V10" i="45"/>
  <c r="R10" i="45"/>
  <c r="AC10" i="45" s="1"/>
  <c r="Y7" i="45"/>
  <c r="Y8" i="45"/>
  <c r="Y9" i="45"/>
  <c r="Y6" i="45"/>
  <c r="U7" i="45"/>
  <c r="U8" i="45"/>
  <c r="U9" i="45"/>
  <c r="U6" i="45"/>
  <c r="T10" i="45"/>
  <c r="U10" i="45" s="1"/>
  <c r="S10" i="45"/>
  <c r="X10" i="45"/>
  <c r="Y10" i="45" s="1"/>
  <c r="W10" i="45"/>
  <c r="AE7" i="44"/>
  <c r="AE8" i="44"/>
  <c r="AE9" i="44"/>
  <c r="AE6" i="44"/>
  <c r="AD7" i="44"/>
  <c r="AD8" i="44"/>
  <c r="AD9" i="44"/>
  <c r="AD6" i="44"/>
  <c r="AC7" i="44"/>
  <c r="AC8" i="44"/>
  <c r="AC9" i="44"/>
  <c r="AC6" i="44"/>
  <c r="AA10" i="44"/>
  <c r="Z10" i="44"/>
  <c r="Y7" i="44"/>
  <c r="Y8" i="44"/>
  <c r="Y6" i="44"/>
  <c r="U7" i="44"/>
  <c r="U8" i="44"/>
  <c r="U10" i="44"/>
  <c r="U6" i="44"/>
  <c r="V10" i="44"/>
  <c r="R10" i="44"/>
  <c r="AC10" i="44" s="1"/>
  <c r="X10" i="44"/>
  <c r="Y10" i="44" s="1"/>
  <c r="W10" i="44"/>
  <c r="T10" i="44"/>
  <c r="S10" i="44"/>
  <c r="Y7" i="36"/>
  <c r="Y8" i="36"/>
  <c r="Y9" i="36"/>
  <c r="Y6" i="36"/>
  <c r="X10" i="36"/>
  <c r="AD10" i="40" l="1"/>
  <c r="AF10" i="40"/>
  <c r="AD10" i="45"/>
  <c r="AF10" i="45"/>
  <c r="AE10" i="44"/>
  <c r="AD10" i="44"/>
  <c r="AF10" i="44"/>
  <c r="Y7" i="39"/>
  <c r="Y8" i="39"/>
  <c r="Y9" i="39"/>
  <c r="Y10" i="39"/>
  <c r="Y6" i="39"/>
  <c r="X10" i="39"/>
  <c r="Y7" i="42"/>
  <c r="Y8" i="42"/>
  <c r="Y9" i="42"/>
  <c r="Y6" i="42"/>
  <c r="X10" i="42"/>
  <c r="AD7" i="24"/>
  <c r="AE7" i="24"/>
  <c r="AD8" i="24"/>
  <c r="AE8" i="24"/>
  <c r="AD9" i="24"/>
  <c r="AE9" i="24"/>
  <c r="AE6" i="24"/>
  <c r="AD6" i="24"/>
  <c r="AC7" i="24"/>
  <c r="AC8" i="24"/>
  <c r="AC9" i="24"/>
  <c r="AC6" i="24"/>
  <c r="Y7" i="24"/>
  <c r="Y8" i="24"/>
  <c r="Y9" i="24"/>
  <c r="Y6" i="24"/>
  <c r="U7" i="24"/>
  <c r="U8" i="24"/>
  <c r="U9" i="24"/>
  <c r="U6" i="24"/>
  <c r="AA10" i="24"/>
  <c r="AF10" i="24" s="1"/>
  <c r="Z10" i="24"/>
  <c r="W10" i="24"/>
  <c r="AD10" i="24" s="1"/>
  <c r="V10" i="24"/>
  <c r="S10" i="24"/>
  <c r="R10" i="24"/>
  <c r="AC10" i="24" s="1"/>
  <c r="X10" i="14" l="1"/>
  <c r="Y10" i="14" s="1"/>
  <c r="AA10" i="14"/>
  <c r="AF10" i="14" s="1"/>
  <c r="Z10" i="14"/>
  <c r="T10" i="14"/>
  <c r="AD6" i="30" l="1"/>
  <c r="AE6" i="30"/>
  <c r="AD7" i="30"/>
  <c r="AE7" i="30"/>
  <c r="AD8" i="30"/>
  <c r="AE8" i="30"/>
  <c r="AD9" i="30"/>
  <c r="AE9" i="30"/>
  <c r="AC8" i="30"/>
  <c r="AC9" i="30"/>
  <c r="AC6" i="30"/>
  <c r="Y8" i="30"/>
  <c r="Y9" i="30"/>
  <c r="Y10" i="30"/>
  <c r="Y6" i="30"/>
  <c r="X10" i="30"/>
  <c r="U7" i="30"/>
  <c r="U8" i="30"/>
  <c r="U9" i="30"/>
  <c r="U6" i="30"/>
  <c r="T10" i="30"/>
  <c r="U10" i="30" s="1"/>
  <c r="W10" i="30"/>
  <c r="V10" i="30"/>
  <c r="AC10" i="30" s="1"/>
  <c r="R10" i="30"/>
  <c r="AA7" i="30"/>
  <c r="AF7" i="30" s="1"/>
  <c r="Z7" i="30"/>
  <c r="Z10" i="30" s="1"/>
  <c r="W7" i="30"/>
  <c r="Y7" i="30" s="1"/>
  <c r="S7" i="30"/>
  <c r="S10" i="30" s="1"/>
  <c r="AD10" i="30" l="1"/>
  <c r="AC7" i="30"/>
  <c r="AE10" i="30"/>
  <c r="AA10" i="30"/>
  <c r="AF10" i="30" s="1"/>
  <c r="U7" i="67"/>
  <c r="U8" i="67"/>
  <c r="U9" i="67"/>
  <c r="U6" i="67"/>
  <c r="T10" i="67"/>
  <c r="AD6" i="67" l="1"/>
  <c r="AE6" i="67"/>
  <c r="AD7" i="67"/>
  <c r="AE7" i="67"/>
  <c r="AD8" i="67"/>
  <c r="AE8" i="67"/>
  <c r="AD9" i="67"/>
  <c r="AE9" i="67"/>
  <c r="AE10" i="67"/>
  <c r="AC7" i="67"/>
  <c r="AC8" i="67"/>
  <c r="AC9" i="67"/>
  <c r="AC6" i="67"/>
  <c r="AA10" i="67"/>
  <c r="AF10" i="67" s="1"/>
  <c r="Z10" i="67"/>
  <c r="W10" i="67"/>
  <c r="V10" i="67"/>
  <c r="S10" i="67"/>
  <c r="U10" i="67" s="1"/>
  <c r="R10" i="67"/>
  <c r="AC10" i="67" s="1"/>
  <c r="AD6" i="62"/>
  <c r="AE6" i="62"/>
  <c r="AD7" i="62"/>
  <c r="AE7" i="62"/>
  <c r="AD8" i="62"/>
  <c r="AE8" i="62"/>
  <c r="AD9" i="62"/>
  <c r="AE9" i="62"/>
  <c r="AC7" i="62"/>
  <c r="AC8" i="62"/>
  <c r="AC9" i="62"/>
  <c r="AC6" i="62"/>
  <c r="Y7" i="62"/>
  <c r="Y8" i="62"/>
  <c r="Y9" i="62"/>
  <c r="Y6" i="62"/>
  <c r="AD10" i="67" l="1"/>
  <c r="AB10" i="62"/>
  <c r="AA10" i="62"/>
  <c r="Z10" i="62"/>
  <c r="W10" i="62"/>
  <c r="X10" i="62"/>
  <c r="V10" i="62"/>
  <c r="U7" i="62"/>
  <c r="U8" i="62"/>
  <c r="U9" i="62"/>
  <c r="U6" i="62"/>
  <c r="T10" i="62"/>
  <c r="U10" i="62" s="1"/>
  <c r="S10" i="62"/>
  <c r="R10" i="62"/>
  <c r="U7" i="36"/>
  <c r="U8" i="36"/>
  <c r="U9" i="36"/>
  <c r="U6" i="36"/>
  <c r="T10" i="36"/>
  <c r="AC10" i="62" l="1"/>
  <c r="AD10" i="62"/>
  <c r="Y10" i="62"/>
  <c r="AE10" i="62"/>
  <c r="AF10" i="62"/>
  <c r="AD6" i="36"/>
  <c r="AE6" i="36"/>
  <c r="AD7" i="36"/>
  <c r="AE7" i="36"/>
  <c r="AD8" i="36"/>
  <c r="AE8" i="36"/>
  <c r="AD9" i="36"/>
  <c r="AE9" i="36"/>
  <c r="AE10" i="36"/>
  <c r="AC7" i="36"/>
  <c r="AC8" i="36"/>
  <c r="AC9" i="36"/>
  <c r="AC6" i="36"/>
  <c r="AA10" i="36"/>
  <c r="AF10" i="36" s="1"/>
  <c r="Z10" i="36"/>
  <c r="W10" i="36"/>
  <c r="Y10" i="36" s="1"/>
  <c r="V10" i="36"/>
  <c r="S10" i="36"/>
  <c r="U10" i="36" s="1"/>
  <c r="R10" i="36"/>
  <c r="U7" i="39"/>
  <c r="U8" i="39"/>
  <c r="U9" i="39"/>
  <c r="U10" i="39"/>
  <c r="U6" i="39"/>
  <c r="T10" i="39"/>
  <c r="AE10" i="39" s="1"/>
  <c r="AD6" i="39"/>
  <c r="AE6" i="39"/>
  <c r="AD7" i="39"/>
  <c r="AE7" i="39"/>
  <c r="AD8" i="39"/>
  <c r="AE8" i="39"/>
  <c r="AD9" i="39"/>
  <c r="AE9" i="39"/>
  <c r="AD10" i="39"/>
  <c r="AC7" i="39"/>
  <c r="AC8" i="39"/>
  <c r="AC9" i="39"/>
  <c r="AC10" i="39"/>
  <c r="AC6" i="39"/>
  <c r="AA10" i="39"/>
  <c r="Z10" i="39"/>
  <c r="W10" i="39"/>
  <c r="V10" i="39"/>
  <c r="S10" i="39"/>
  <c r="R10" i="39"/>
  <c r="S10" i="42"/>
  <c r="U7" i="42"/>
  <c r="U8" i="42"/>
  <c r="U9" i="42"/>
  <c r="U6" i="42"/>
  <c r="T10" i="42"/>
  <c r="AE10" i="42" s="1"/>
  <c r="AD6" i="42"/>
  <c r="AE6" i="42"/>
  <c r="AD7" i="42"/>
  <c r="AE7" i="42"/>
  <c r="AD8" i="42"/>
  <c r="AE8" i="42"/>
  <c r="AD9" i="42"/>
  <c r="AE9" i="42"/>
  <c r="AC7" i="42"/>
  <c r="AC8" i="42"/>
  <c r="AC9" i="42"/>
  <c r="AC6" i="42"/>
  <c r="AA10" i="42"/>
  <c r="AF10" i="42" s="1"/>
  <c r="Z10" i="42"/>
  <c r="W10" i="42"/>
  <c r="Y10" i="42" s="1"/>
  <c r="V10" i="42"/>
  <c r="R10" i="42"/>
  <c r="AC10" i="42" s="1"/>
  <c r="AD7" i="34"/>
  <c r="AE7" i="34"/>
  <c r="AD8" i="34"/>
  <c r="AE8" i="34"/>
  <c r="AD9" i="34"/>
  <c r="AE9" i="34"/>
  <c r="AE6" i="34"/>
  <c r="AD6" i="34"/>
  <c r="AC7" i="34"/>
  <c r="AC8" i="34"/>
  <c r="AC9" i="34"/>
  <c r="AC6" i="34"/>
  <c r="AC10" i="34" s="1"/>
  <c r="AA10" i="34"/>
  <c r="AF10" i="34" s="1"/>
  <c r="Z10" i="34"/>
  <c r="W10" i="34"/>
  <c r="Y10" i="34" s="1"/>
  <c r="V10" i="34"/>
  <c r="U7" i="34"/>
  <c r="U8" i="34"/>
  <c r="U9" i="34"/>
  <c r="U6" i="34"/>
  <c r="S10" i="34"/>
  <c r="R10" i="34"/>
  <c r="AD10" i="34" l="1"/>
  <c r="U10" i="42"/>
  <c r="AD10" i="42"/>
  <c r="AE10" i="34"/>
  <c r="AD10" i="36"/>
  <c r="AC10" i="36"/>
  <c r="T10" i="34" l="1"/>
  <c r="U10" i="34" s="1"/>
  <c r="X10" i="24"/>
  <c r="Y10" i="24" s="1"/>
  <c r="T10" i="24"/>
  <c r="U10" i="24" l="1"/>
  <c r="AE10" i="24"/>
  <c r="M8" i="47"/>
  <c r="I8" i="47"/>
  <c r="M8" i="65" l="1"/>
  <c r="I8" i="65"/>
  <c r="Q6" i="14" l="1"/>
  <c r="J6" i="14"/>
  <c r="Q7" i="48"/>
  <c r="Q8" i="48"/>
  <c r="Q9" i="48"/>
  <c r="Q6" i="48"/>
  <c r="F7" i="48"/>
  <c r="F8" i="48"/>
  <c r="F9" i="48"/>
  <c r="Q7" i="60" l="1"/>
  <c r="Q6" i="60"/>
  <c r="J7" i="60"/>
  <c r="J6" i="60"/>
  <c r="Q7" i="47" l="1"/>
  <c r="Q6" i="47"/>
  <c r="J7" i="47"/>
  <c r="J6" i="47"/>
  <c r="Q7" i="64" l="1"/>
  <c r="Q8" i="64"/>
  <c r="Q9" i="64"/>
  <c r="Q6" i="64"/>
  <c r="Q7" i="57"/>
  <c r="Q8" i="57"/>
  <c r="Q9" i="57"/>
  <c r="Q6" i="57"/>
  <c r="Q7" i="44"/>
  <c r="Q8" i="44"/>
  <c r="Q9" i="44"/>
  <c r="Q6" i="44"/>
  <c r="P7" i="38"/>
  <c r="O7" i="38"/>
  <c r="O8" i="38"/>
  <c r="O6" i="38"/>
  <c r="N7" i="38"/>
  <c r="N8" i="38"/>
  <c r="N6" i="38"/>
  <c r="M7" i="38" l="1"/>
  <c r="M8" i="38"/>
  <c r="M6" i="38"/>
  <c r="I7" i="38"/>
  <c r="C9" i="38"/>
  <c r="E7" i="38"/>
  <c r="M9" i="38" l="1"/>
  <c r="Q7" i="68"/>
  <c r="Q9" i="68"/>
  <c r="L9" i="68"/>
  <c r="L8" i="68"/>
  <c r="Q8" i="68" s="1"/>
  <c r="L7" i="68"/>
  <c r="L6" i="68"/>
  <c r="Q6" i="68" s="1"/>
  <c r="Q7" i="45" l="1"/>
  <c r="Q8" i="45"/>
  <c r="Q9" i="45"/>
  <c r="Q6" i="45"/>
  <c r="Q7" i="65" l="1"/>
  <c r="Q6" i="65"/>
  <c r="J7" i="65"/>
  <c r="J6" i="65"/>
  <c r="L8" i="65"/>
  <c r="Q8" i="65" s="1"/>
  <c r="K8" i="65"/>
  <c r="H8" i="65"/>
  <c r="J8" i="65" s="1"/>
  <c r="G8" i="65"/>
  <c r="Q7" i="28"/>
  <c r="Q8" i="28"/>
  <c r="Q9" i="28"/>
  <c r="Q6" i="28"/>
  <c r="J7" i="28"/>
  <c r="J8" i="28"/>
  <c r="J9" i="28"/>
  <c r="J6" i="28"/>
  <c r="K10" i="28"/>
  <c r="Q7" i="32"/>
  <c r="Q8" i="32"/>
  <c r="Q9" i="32"/>
  <c r="Q6" i="32"/>
  <c r="J7" i="32"/>
  <c r="J8" i="32"/>
  <c r="J9" i="32"/>
  <c r="J6" i="32"/>
  <c r="K10" i="32"/>
  <c r="K10" i="48"/>
  <c r="K10" i="60"/>
  <c r="L8" i="47"/>
  <c r="Q8" i="47" s="1"/>
  <c r="K8" i="47"/>
  <c r="H8" i="47"/>
  <c r="J8" i="47" s="1"/>
  <c r="G8" i="47"/>
  <c r="J7" i="64"/>
  <c r="J8" i="64"/>
  <c r="J9" i="64"/>
  <c r="J6" i="64"/>
  <c r="K10" i="64"/>
  <c r="J7" i="68"/>
  <c r="J8" i="68"/>
  <c r="J9" i="68"/>
  <c r="J6" i="68"/>
  <c r="Q7" i="46"/>
  <c r="Q6" i="46"/>
  <c r="L8" i="46"/>
  <c r="K8" i="46"/>
  <c r="J7" i="46"/>
  <c r="J6" i="46"/>
  <c r="H8" i="46"/>
  <c r="G8" i="46"/>
  <c r="I8" i="46"/>
  <c r="M8" i="46"/>
  <c r="K10" i="14"/>
  <c r="K10" i="45"/>
  <c r="J7" i="45"/>
  <c r="J8" i="45"/>
  <c r="J9" i="45"/>
  <c r="J6" i="45"/>
  <c r="J7" i="44"/>
  <c r="J8" i="44"/>
  <c r="J9" i="44"/>
  <c r="J6" i="44"/>
  <c r="K10" i="44"/>
  <c r="Q8" i="46" l="1"/>
  <c r="J8" i="46"/>
  <c r="Q7" i="54"/>
  <c r="Q8" i="54"/>
  <c r="Q6" i="54"/>
  <c r="J7" i="54"/>
  <c r="J8" i="54"/>
  <c r="J6" i="54"/>
  <c r="I9" i="54"/>
  <c r="J9" i="54" s="1"/>
  <c r="M9" i="54"/>
  <c r="Q9" i="54" s="1"/>
  <c r="L9" i="54"/>
  <c r="K9" i="54"/>
  <c r="H9" i="54"/>
  <c r="G9" i="54"/>
  <c r="Q7" i="55"/>
  <c r="Q8" i="55"/>
  <c r="Q9" i="55"/>
  <c r="Q6" i="55"/>
  <c r="J8" i="55"/>
  <c r="J9" i="55"/>
  <c r="Q7" i="51"/>
  <c r="Q8" i="51"/>
  <c r="Q9" i="51"/>
  <c r="Q6" i="51"/>
  <c r="J7" i="51"/>
  <c r="J8" i="51"/>
  <c r="J9" i="51"/>
  <c r="J6" i="51"/>
  <c r="K10" i="51"/>
  <c r="Q7" i="33" l="1"/>
  <c r="Q8" i="33"/>
  <c r="Q9" i="33"/>
  <c r="Q6" i="33"/>
  <c r="K10" i="33"/>
  <c r="P8" i="38"/>
  <c r="P6" i="38"/>
  <c r="L9" i="38"/>
  <c r="K9" i="38"/>
  <c r="J9" i="38"/>
  <c r="I8" i="38"/>
  <c r="I6" i="38"/>
  <c r="H9" i="38"/>
  <c r="G9" i="38"/>
  <c r="F9" i="38"/>
  <c r="E8" i="38"/>
  <c r="P9" i="38" l="1"/>
  <c r="I9" i="38"/>
  <c r="Q7" i="40"/>
  <c r="Q8" i="40"/>
  <c r="Q9" i="40"/>
  <c r="Q6" i="40"/>
  <c r="Q7" i="23" l="1"/>
  <c r="Q8" i="23"/>
  <c r="Q9" i="23"/>
  <c r="Q6" i="23"/>
  <c r="K10" i="23"/>
  <c r="Q7" i="34"/>
  <c r="Q8" i="34"/>
  <c r="Q9" i="34"/>
  <c r="Q6" i="34"/>
  <c r="J7" i="23"/>
  <c r="J8" i="23"/>
  <c r="J9" i="23"/>
  <c r="J6" i="23"/>
  <c r="H10" i="23"/>
  <c r="K10" i="34"/>
  <c r="J7" i="34"/>
  <c r="J8" i="34"/>
  <c r="J9" i="34"/>
  <c r="J6" i="34"/>
  <c r="K10" i="68" l="1"/>
  <c r="I10" i="34"/>
  <c r="J10" i="34" s="1"/>
  <c r="H10" i="34"/>
  <c r="Q7" i="67"/>
  <c r="Q8" i="67"/>
  <c r="Q9" i="67"/>
  <c r="Q6" i="67"/>
  <c r="K10" i="67" l="1"/>
  <c r="J7" i="67"/>
  <c r="J8" i="67"/>
  <c r="J9" i="67"/>
  <c r="J6" i="67"/>
  <c r="Q7" i="58" l="1"/>
  <c r="Q8" i="58"/>
  <c r="Q9" i="58"/>
  <c r="Q6" i="58"/>
  <c r="K10" i="58"/>
  <c r="J7" i="58" l="1"/>
  <c r="J8" i="58"/>
  <c r="J9" i="58"/>
  <c r="J6" i="58"/>
  <c r="J7" i="33"/>
  <c r="J8" i="33"/>
  <c r="J9" i="33"/>
  <c r="J6" i="33"/>
  <c r="Q7" i="59" l="1"/>
  <c r="Q8" i="59"/>
  <c r="Q9" i="59"/>
  <c r="Q6" i="59"/>
  <c r="Q7" i="49" l="1"/>
  <c r="Q8" i="49"/>
  <c r="Q9" i="49"/>
  <c r="Q6" i="49"/>
  <c r="K10" i="49" l="1"/>
  <c r="Q7" i="30" l="1"/>
  <c r="Q8" i="30"/>
  <c r="Q9" i="30"/>
  <c r="Q6" i="30"/>
  <c r="K10" i="30"/>
  <c r="J7" i="30"/>
  <c r="J8" i="30"/>
  <c r="J9" i="30"/>
  <c r="J6" i="30"/>
  <c r="Q7" i="36" l="1"/>
  <c r="Q8" i="36"/>
  <c r="Q9" i="36"/>
  <c r="Q6" i="36"/>
  <c r="J7" i="36" l="1"/>
  <c r="J8" i="36"/>
  <c r="J9" i="36"/>
  <c r="J6" i="36"/>
  <c r="K10" i="36"/>
  <c r="Q7" i="39"/>
  <c r="Q8" i="39"/>
  <c r="Q9" i="39"/>
  <c r="Q10" i="39"/>
  <c r="Q6" i="39"/>
  <c r="K10" i="39"/>
  <c r="J7" i="39"/>
  <c r="J8" i="39"/>
  <c r="J9" i="39"/>
  <c r="J10" i="39"/>
  <c r="J6" i="39"/>
  <c r="Q7" i="42"/>
  <c r="Q8" i="42"/>
  <c r="Q9" i="42"/>
  <c r="Q6" i="42"/>
  <c r="J7" i="42"/>
  <c r="J8" i="42"/>
  <c r="J9" i="42"/>
  <c r="J6" i="42"/>
  <c r="K10" i="42"/>
  <c r="K10" i="57"/>
  <c r="J7" i="57"/>
  <c r="J8" i="57"/>
  <c r="J9" i="57"/>
  <c r="J6" i="57"/>
  <c r="Q7" i="62"/>
  <c r="Q8" i="62"/>
  <c r="Q9" i="62"/>
  <c r="Q6" i="62"/>
  <c r="K10" i="62"/>
  <c r="J7" i="62"/>
  <c r="J8" i="62"/>
  <c r="J9" i="62"/>
  <c r="J6" i="62"/>
  <c r="K10" i="24" l="1"/>
  <c r="Q7" i="24" l="1"/>
  <c r="Q8" i="24"/>
  <c r="Q9" i="24"/>
  <c r="Q6" i="24"/>
  <c r="K10" i="55" l="1"/>
  <c r="J6" i="55"/>
  <c r="J7" i="48"/>
  <c r="J8" i="48"/>
  <c r="J9" i="48"/>
  <c r="J6" i="48"/>
  <c r="J7" i="55" l="1"/>
  <c r="K10" i="59" l="1"/>
  <c r="J7" i="59" l="1"/>
  <c r="J8" i="59"/>
  <c r="J9" i="59"/>
  <c r="J6" i="59"/>
  <c r="J7" i="49" l="1"/>
  <c r="J8" i="49"/>
  <c r="J9" i="49"/>
  <c r="J6" i="49"/>
  <c r="K10" i="40" l="1"/>
  <c r="N7" i="40"/>
  <c r="N8" i="40"/>
  <c r="N9" i="40"/>
  <c r="N6" i="40"/>
  <c r="C10" i="40"/>
  <c r="J7" i="40"/>
  <c r="J8" i="40"/>
  <c r="J9" i="40"/>
  <c r="J6" i="40"/>
  <c r="J9" i="24"/>
  <c r="J8" i="24"/>
  <c r="J7" i="24"/>
  <c r="J6" i="24"/>
  <c r="C9" i="54" l="1"/>
  <c r="C10" i="55"/>
  <c r="C10" i="23"/>
  <c r="C8" i="65"/>
  <c r="C10" i="33"/>
  <c r="C10" i="59"/>
  <c r="C10" i="51"/>
  <c r="C10" i="58"/>
  <c r="C10" i="34"/>
  <c r="C10" i="28"/>
  <c r="C10" i="32"/>
  <c r="C10" i="49"/>
  <c r="C10" i="48"/>
  <c r="C10" i="60"/>
  <c r="C8" i="47"/>
  <c r="C7" i="30"/>
  <c r="BK7" i="30" s="1"/>
  <c r="C8" i="30"/>
  <c r="BK8" i="30" s="1"/>
  <c r="C9" i="30"/>
  <c r="BK9" i="30" s="1"/>
  <c r="C6" i="30"/>
  <c r="BK6" i="30" s="1"/>
  <c r="C6" i="68"/>
  <c r="BK6" i="68" s="1"/>
  <c r="C7" i="64"/>
  <c r="BK7" i="64" s="1"/>
  <c r="C8" i="64"/>
  <c r="BK8" i="64" s="1"/>
  <c r="C9" i="64"/>
  <c r="BK9" i="64" s="1"/>
  <c r="C6" i="64"/>
  <c r="BK6" i="64" s="1"/>
  <c r="C7" i="68"/>
  <c r="BK7" i="68" s="1"/>
  <c r="C8" i="68"/>
  <c r="BK8" i="68" s="1"/>
  <c r="C9" i="68"/>
  <c r="BK9" i="68" s="1"/>
  <c r="C7" i="46"/>
  <c r="BK7" i="46" s="1"/>
  <c r="C6" i="46"/>
  <c r="BK6" i="46" s="1"/>
  <c r="C10" i="14"/>
  <c r="C6" i="57"/>
  <c r="BK6" i="57" s="1"/>
  <c r="C7" i="57"/>
  <c r="BK7" i="57" s="1"/>
  <c r="C8" i="57"/>
  <c r="BK8" i="57" s="1"/>
  <c r="C9" i="57"/>
  <c r="BK9" i="57" s="1"/>
  <c r="C6" i="45"/>
  <c r="BK6" i="45" s="1"/>
  <c r="C7" i="45"/>
  <c r="BK7" i="45" s="1"/>
  <c r="C8" i="45"/>
  <c r="BK8" i="45" s="1"/>
  <c r="C9" i="45"/>
  <c r="BK9" i="45" s="1"/>
  <c r="C6" i="44"/>
  <c r="BK6" i="44" s="1"/>
  <c r="C7" i="44"/>
  <c r="BK7" i="44" s="1"/>
  <c r="C8" i="44"/>
  <c r="BK8" i="44" s="1"/>
  <c r="C9" i="44"/>
  <c r="BK9" i="44" s="1"/>
  <c r="C6" i="67"/>
  <c r="BK6" i="67" s="1"/>
  <c r="C9" i="67"/>
  <c r="BK9" i="67" s="1"/>
  <c r="C8" i="67"/>
  <c r="BK8" i="67" s="1"/>
  <c r="C7" i="67"/>
  <c r="BK7" i="67" s="1"/>
  <c r="C10" i="62"/>
  <c r="C10" i="36"/>
  <c r="C8" i="46" l="1"/>
  <c r="BK8" i="46" s="1"/>
  <c r="C10" i="45"/>
  <c r="BK10" i="45" s="1"/>
  <c r="C10" i="68"/>
  <c r="BK10" i="68" s="1"/>
  <c r="C10" i="30"/>
  <c r="BK10" i="30" s="1"/>
  <c r="C10" i="67"/>
  <c r="BK10" i="67" s="1"/>
  <c r="C10" i="44"/>
  <c r="BK10" i="44" s="1"/>
  <c r="C10" i="57"/>
  <c r="BK10" i="57" s="1"/>
  <c r="C10" i="64"/>
  <c r="BK10" i="64" s="1"/>
  <c r="C10" i="39"/>
  <c r="C10" i="42"/>
  <c r="C10" i="24"/>
  <c r="B3" i="69" l="1"/>
  <c r="BM7" i="24"/>
  <c r="BM8" i="24"/>
  <c r="BM9" i="24"/>
  <c r="BM7" i="42"/>
  <c r="BM8" i="42"/>
  <c r="BM9" i="42"/>
  <c r="BL7" i="39"/>
  <c r="BL8" i="39"/>
  <c r="BL9" i="39"/>
  <c r="BM7" i="36"/>
  <c r="BM8" i="36"/>
  <c r="BM9" i="36"/>
  <c r="BM7" i="62"/>
  <c r="BM8" i="62"/>
  <c r="BM9" i="62"/>
  <c r="BM7" i="67"/>
  <c r="BM8" i="67"/>
  <c r="BM9" i="67"/>
  <c r="BM7" i="44"/>
  <c r="BM8" i="44"/>
  <c r="BM9" i="44"/>
  <c r="BM7" i="45"/>
  <c r="BM8" i="45"/>
  <c r="BM9" i="45"/>
  <c r="BM7" i="40"/>
  <c r="BM8" i="40"/>
  <c r="BM9" i="40"/>
  <c r="BM7" i="57"/>
  <c r="BM8" i="57"/>
  <c r="BM9" i="57"/>
  <c r="BM7" i="46"/>
  <c r="BM7" i="68"/>
  <c r="BM8" i="68"/>
  <c r="BM9" i="68"/>
  <c r="BM7" i="64"/>
  <c r="BM8" i="64"/>
  <c r="BM9" i="64"/>
  <c r="BM7" i="30"/>
  <c r="BM8" i="30"/>
  <c r="BM9" i="30"/>
  <c r="BM7" i="47"/>
  <c r="BM7" i="60"/>
  <c r="BM7" i="49"/>
  <c r="BM8" i="49"/>
  <c r="BM9" i="49"/>
  <c r="BM7" i="32"/>
  <c r="BM8" i="32"/>
  <c r="BM9" i="32"/>
  <c r="BM7" i="28"/>
  <c r="BM8" i="28"/>
  <c r="BM9" i="28"/>
  <c r="BM7" i="34"/>
  <c r="BM8" i="34"/>
  <c r="BM9" i="34"/>
  <c r="BM8" i="58"/>
  <c r="BM9" i="58"/>
  <c r="BM7" i="51"/>
  <c r="BM8" i="51"/>
  <c r="BM9" i="51"/>
  <c r="BM7" i="59"/>
  <c r="BM8" i="59"/>
  <c r="BM9" i="59"/>
  <c r="BM7" i="33"/>
  <c r="BM8" i="33"/>
  <c r="BM9" i="33"/>
  <c r="BM7" i="65"/>
  <c r="BM7" i="23"/>
  <c r="BM8" i="23"/>
  <c r="BM9" i="23"/>
  <c r="BM7" i="54"/>
  <c r="BM8" i="54"/>
  <c r="BM7" i="55"/>
  <c r="BM8" i="55"/>
  <c r="BM9" i="55"/>
  <c r="BL7" i="24"/>
  <c r="BL8" i="24"/>
  <c r="BL9" i="24"/>
  <c r="BL7" i="42"/>
  <c r="BL8" i="42"/>
  <c r="BL9" i="42"/>
  <c r="BK7" i="39"/>
  <c r="BK8" i="39"/>
  <c r="BK9" i="39"/>
  <c r="BL7" i="36"/>
  <c r="BL8" i="36"/>
  <c r="BL9" i="36"/>
  <c r="BL7" i="62"/>
  <c r="BL8" i="62"/>
  <c r="BL9" i="62"/>
  <c r="BL7" i="67"/>
  <c r="BL8" i="67"/>
  <c r="BL9" i="67"/>
  <c r="BL7" i="44"/>
  <c r="BL8" i="44"/>
  <c r="BL9" i="44"/>
  <c r="BL7" i="45"/>
  <c r="BL8" i="45"/>
  <c r="BL9" i="45"/>
  <c r="BL7" i="40"/>
  <c r="BL8" i="40"/>
  <c r="BL9" i="40"/>
  <c r="BL7" i="57"/>
  <c r="BL8" i="57"/>
  <c r="BL9" i="57"/>
  <c r="BL7" i="46"/>
  <c r="BL7" i="68"/>
  <c r="BL8" i="68"/>
  <c r="BL9" i="68"/>
  <c r="BL7" i="64"/>
  <c r="BL8" i="64"/>
  <c r="BL9" i="64"/>
  <c r="BL8" i="30"/>
  <c r="BL9" i="30"/>
  <c r="BL7" i="47"/>
  <c r="BL7" i="60"/>
  <c r="BL7" i="49"/>
  <c r="BL8" i="49"/>
  <c r="BL9" i="49"/>
  <c r="BL7" i="32"/>
  <c r="BL8" i="32"/>
  <c r="BL9" i="32"/>
  <c r="BL7" i="28"/>
  <c r="BL8" i="28"/>
  <c r="BL9" i="28"/>
  <c r="BL7" i="34"/>
  <c r="BL8" i="34"/>
  <c r="BL9" i="34"/>
  <c r="BL7" i="58"/>
  <c r="BL8" i="58"/>
  <c r="BL9" i="58"/>
  <c r="BL7" i="51"/>
  <c r="BL8" i="51"/>
  <c r="BL9" i="51"/>
  <c r="BL7" i="59"/>
  <c r="BL8" i="59"/>
  <c r="BL9" i="59"/>
  <c r="BL7" i="33"/>
  <c r="BL8" i="33"/>
  <c r="BL9" i="33"/>
  <c r="BL7" i="65"/>
  <c r="BL7" i="23"/>
  <c r="BL8" i="23"/>
  <c r="BL9" i="23"/>
  <c r="BL7" i="54"/>
  <c r="BL8" i="54"/>
  <c r="BL7" i="55"/>
  <c r="BL8" i="55"/>
  <c r="BL9" i="55"/>
  <c r="BM6" i="24"/>
  <c r="BM6" i="42"/>
  <c r="BL6" i="39"/>
  <c r="BM6" i="36"/>
  <c r="BM6" i="62"/>
  <c r="BM6" i="67"/>
  <c r="BM6" i="45"/>
  <c r="BM6" i="40"/>
  <c r="BM6" i="57"/>
  <c r="BM6" i="46"/>
  <c r="BM6" i="68"/>
  <c r="BM6" i="64"/>
  <c r="BM6" i="30"/>
  <c r="BM6" i="47"/>
  <c r="BM6" i="60"/>
  <c r="BM6" i="49"/>
  <c r="BM6" i="32"/>
  <c r="BM6" i="28"/>
  <c r="BM6" i="34"/>
  <c r="BM6" i="58"/>
  <c r="BM6" i="51"/>
  <c r="BM6" i="59"/>
  <c r="BM6" i="33"/>
  <c r="BM6" i="65"/>
  <c r="BM6" i="23"/>
  <c r="BM6" i="54"/>
  <c r="BM6" i="55"/>
  <c r="BL6" i="24"/>
  <c r="BL6" i="42"/>
  <c r="BK6" i="39"/>
  <c r="BL6" i="36"/>
  <c r="BL6" i="62"/>
  <c r="BL6" i="67"/>
  <c r="BL6" i="45"/>
  <c r="BL6" i="40"/>
  <c r="BL6" i="57"/>
  <c r="BL6" i="46"/>
  <c r="BL6" i="68"/>
  <c r="BL6" i="64"/>
  <c r="BL6" i="30"/>
  <c r="BL6" i="47"/>
  <c r="BL6" i="60"/>
  <c r="BL6" i="49"/>
  <c r="BL6" i="32"/>
  <c r="BL6" i="28"/>
  <c r="BL6" i="34"/>
  <c r="BL6" i="58"/>
  <c r="BL6" i="51"/>
  <c r="BL6" i="59"/>
  <c r="BL6" i="33"/>
  <c r="BL6" i="65"/>
  <c r="BL6" i="23"/>
  <c r="BL6" i="54"/>
  <c r="BL6" i="55"/>
  <c r="P7" i="24"/>
  <c r="P8" i="24"/>
  <c r="P9" i="24"/>
  <c r="P7" i="42"/>
  <c r="P8" i="42"/>
  <c r="P9" i="42"/>
  <c r="P7" i="39"/>
  <c r="P8" i="39"/>
  <c r="P9" i="39"/>
  <c r="P7" i="36"/>
  <c r="P8" i="36"/>
  <c r="P9" i="36"/>
  <c r="P7" i="62"/>
  <c r="P8" i="62"/>
  <c r="P9" i="62"/>
  <c r="P7" i="67"/>
  <c r="P8" i="67"/>
  <c r="P9" i="67"/>
  <c r="P7" i="44"/>
  <c r="P8" i="44"/>
  <c r="P9" i="44"/>
  <c r="P7" i="45"/>
  <c r="P8" i="45"/>
  <c r="P9" i="45"/>
  <c r="P7" i="40"/>
  <c r="P8" i="40"/>
  <c r="P9" i="40"/>
  <c r="P7" i="57"/>
  <c r="P8" i="57"/>
  <c r="P9" i="57"/>
  <c r="P7" i="46"/>
  <c r="P7" i="68"/>
  <c r="P8" i="68"/>
  <c r="P9" i="68"/>
  <c r="P7" i="64"/>
  <c r="P8" i="64"/>
  <c r="P9" i="64"/>
  <c r="P7" i="30"/>
  <c r="P8" i="30"/>
  <c r="P9" i="30"/>
  <c r="P7" i="47"/>
  <c r="P7" i="60"/>
  <c r="P7" i="48"/>
  <c r="P8" i="48"/>
  <c r="P9" i="48"/>
  <c r="P7" i="49"/>
  <c r="P8" i="49"/>
  <c r="P9" i="49"/>
  <c r="P7" i="32"/>
  <c r="P8" i="32"/>
  <c r="P9" i="32"/>
  <c r="P7" i="28"/>
  <c r="P8" i="28"/>
  <c r="P9" i="28"/>
  <c r="P7" i="34"/>
  <c r="P8" i="34"/>
  <c r="P9" i="34"/>
  <c r="P7" i="58"/>
  <c r="P8" i="58"/>
  <c r="P9" i="58"/>
  <c r="P7" i="51"/>
  <c r="P8" i="51"/>
  <c r="P9" i="51"/>
  <c r="P7" i="59"/>
  <c r="P8" i="59"/>
  <c r="P9" i="59"/>
  <c r="P7" i="33"/>
  <c r="P8" i="33"/>
  <c r="P9" i="33"/>
  <c r="P7" i="65"/>
  <c r="P7" i="23"/>
  <c r="P8" i="23"/>
  <c r="P9" i="23"/>
  <c r="P7" i="54"/>
  <c r="P8" i="54"/>
  <c r="P7" i="55"/>
  <c r="P8" i="55"/>
  <c r="P9" i="55"/>
  <c r="O7" i="24"/>
  <c r="O8" i="24"/>
  <c r="O9" i="24"/>
  <c r="O7" i="42"/>
  <c r="O8" i="42"/>
  <c r="O9" i="42"/>
  <c r="O7" i="39"/>
  <c r="O8" i="39"/>
  <c r="O9" i="39"/>
  <c r="O7" i="36"/>
  <c r="O8" i="36"/>
  <c r="O9" i="36"/>
  <c r="O7" i="62"/>
  <c r="O8" i="62"/>
  <c r="O9" i="62"/>
  <c r="O7" i="67"/>
  <c r="O8" i="67"/>
  <c r="O9" i="67"/>
  <c r="O7" i="44"/>
  <c r="O8" i="44"/>
  <c r="O9" i="44"/>
  <c r="O7" i="45"/>
  <c r="O8" i="45"/>
  <c r="O9" i="45"/>
  <c r="O7" i="40"/>
  <c r="O8" i="40"/>
  <c r="O9" i="40"/>
  <c r="O7" i="57"/>
  <c r="O8" i="57"/>
  <c r="O9" i="57"/>
  <c r="O7" i="46"/>
  <c r="O7" i="68"/>
  <c r="O8" i="68"/>
  <c r="O9" i="68"/>
  <c r="O7" i="64"/>
  <c r="O8" i="64"/>
  <c r="O9" i="64"/>
  <c r="O8" i="30"/>
  <c r="O9" i="30"/>
  <c r="O7" i="47"/>
  <c r="O7" i="60"/>
  <c r="O7" i="48"/>
  <c r="O8" i="48"/>
  <c r="O9" i="48"/>
  <c r="O7" i="49"/>
  <c r="O8" i="49"/>
  <c r="O9" i="49"/>
  <c r="O7" i="32"/>
  <c r="O8" i="32"/>
  <c r="O9" i="32"/>
  <c r="O7" i="28"/>
  <c r="O8" i="28"/>
  <c r="O9" i="28"/>
  <c r="O7" i="34"/>
  <c r="O8" i="34"/>
  <c r="O9" i="34"/>
  <c r="O7" i="58"/>
  <c r="O8" i="58"/>
  <c r="O9" i="58"/>
  <c r="O7" i="51"/>
  <c r="O8" i="51"/>
  <c r="O9" i="51"/>
  <c r="O7" i="59"/>
  <c r="O8" i="59"/>
  <c r="O9" i="59"/>
  <c r="O7" i="33"/>
  <c r="O8" i="33"/>
  <c r="O9" i="33"/>
  <c r="O7" i="65"/>
  <c r="O7" i="23"/>
  <c r="O8" i="23"/>
  <c r="O9" i="23"/>
  <c r="O7" i="54"/>
  <c r="O8" i="54"/>
  <c r="O7" i="55"/>
  <c r="O8" i="55"/>
  <c r="O9" i="55"/>
  <c r="P6" i="24"/>
  <c r="P6" i="42"/>
  <c r="P6" i="39"/>
  <c r="P6" i="36"/>
  <c r="P6" i="62"/>
  <c r="P6" i="67"/>
  <c r="P6" i="44"/>
  <c r="P6" i="45"/>
  <c r="P6" i="40"/>
  <c r="P6" i="57"/>
  <c r="P6" i="46"/>
  <c r="P6" i="68"/>
  <c r="P6" i="64"/>
  <c r="P6" i="30"/>
  <c r="P6" i="47"/>
  <c r="P6" i="60"/>
  <c r="P6" i="48"/>
  <c r="P6" i="49"/>
  <c r="P6" i="32"/>
  <c r="P6" i="28"/>
  <c r="P6" i="34"/>
  <c r="P6" i="58"/>
  <c r="P6" i="51"/>
  <c r="P6" i="59"/>
  <c r="P6" i="33"/>
  <c r="P6" i="65"/>
  <c r="P6" i="23"/>
  <c r="P6" i="54"/>
  <c r="P6" i="55"/>
  <c r="O6" i="24"/>
  <c r="O6" i="42"/>
  <c r="O6" i="39"/>
  <c r="O6" i="36"/>
  <c r="O6" i="62"/>
  <c r="O6" i="67"/>
  <c r="O6" i="44"/>
  <c r="O6" i="45"/>
  <c r="O6" i="40"/>
  <c r="O6" i="57"/>
  <c r="O6" i="46"/>
  <c r="O6" i="68"/>
  <c r="O6" i="64"/>
  <c r="O6" i="30"/>
  <c r="O6" i="47"/>
  <c r="O6" i="60"/>
  <c r="O6" i="48"/>
  <c r="O6" i="49"/>
  <c r="O6" i="32"/>
  <c r="O6" i="28"/>
  <c r="O6" i="34"/>
  <c r="O6" i="58"/>
  <c r="O6" i="51"/>
  <c r="O6" i="59"/>
  <c r="O6" i="33"/>
  <c r="O6" i="65"/>
  <c r="O6" i="23"/>
  <c r="O6" i="54"/>
  <c r="O6" i="55"/>
  <c r="N7" i="24"/>
  <c r="N8" i="24"/>
  <c r="N9" i="24"/>
  <c r="N7" i="42"/>
  <c r="N8" i="42"/>
  <c r="N9" i="42"/>
  <c r="N7" i="39"/>
  <c r="N8" i="39"/>
  <c r="N9" i="39"/>
  <c r="N7" i="36"/>
  <c r="N8" i="36"/>
  <c r="N9" i="36"/>
  <c r="N7" i="62"/>
  <c r="N8" i="62"/>
  <c r="N9" i="62"/>
  <c r="N7" i="67"/>
  <c r="N8" i="67"/>
  <c r="N9" i="67"/>
  <c r="N7" i="44"/>
  <c r="N8" i="44"/>
  <c r="N9" i="44"/>
  <c r="N7" i="45"/>
  <c r="N8" i="45"/>
  <c r="N9" i="45"/>
  <c r="N7" i="57"/>
  <c r="N8" i="57"/>
  <c r="N9" i="57"/>
  <c r="N7" i="14"/>
  <c r="N8" i="14"/>
  <c r="N9" i="14"/>
  <c r="N7" i="46"/>
  <c r="N8" i="46"/>
  <c r="N7" i="68"/>
  <c r="N8" i="68"/>
  <c r="N9" i="68"/>
  <c r="N7" i="64"/>
  <c r="N8" i="64"/>
  <c r="N9" i="64"/>
  <c r="N7" i="30"/>
  <c r="N8" i="30"/>
  <c r="N9" i="30"/>
  <c r="N7" i="47"/>
  <c r="N8" i="47"/>
  <c r="N7" i="60"/>
  <c r="N7" i="48"/>
  <c r="N8" i="48"/>
  <c r="N9" i="48"/>
  <c r="N7" i="49"/>
  <c r="N8" i="49"/>
  <c r="N9" i="49"/>
  <c r="N7" i="32"/>
  <c r="N8" i="32"/>
  <c r="N9" i="32"/>
  <c r="N7" i="28"/>
  <c r="N8" i="28"/>
  <c r="N9" i="28"/>
  <c r="N7" i="34"/>
  <c r="N8" i="34"/>
  <c r="N9" i="34"/>
  <c r="N7" i="58"/>
  <c r="N8" i="58"/>
  <c r="N9" i="58"/>
  <c r="N7" i="51"/>
  <c r="N8" i="51"/>
  <c r="N9" i="51"/>
  <c r="N7" i="59"/>
  <c r="N8" i="59"/>
  <c r="N9" i="59"/>
  <c r="N7" i="33"/>
  <c r="N8" i="33"/>
  <c r="N9" i="33"/>
  <c r="N7" i="65"/>
  <c r="N8" i="65"/>
  <c r="N7" i="23"/>
  <c r="N8" i="23"/>
  <c r="N9" i="23"/>
  <c r="N7" i="54"/>
  <c r="N8" i="54"/>
  <c r="N9" i="54"/>
  <c r="N7" i="55"/>
  <c r="N8" i="55"/>
  <c r="N9" i="55"/>
  <c r="N6" i="24"/>
  <c r="N6" i="42"/>
  <c r="N6" i="39"/>
  <c r="N6" i="36"/>
  <c r="N6" i="62"/>
  <c r="N6" i="67"/>
  <c r="N6" i="44"/>
  <c r="N6" i="45"/>
  <c r="N6" i="57"/>
  <c r="N6" i="46"/>
  <c r="N6" i="68"/>
  <c r="N6" i="64"/>
  <c r="N6" i="30"/>
  <c r="N6" i="47"/>
  <c r="N6" i="60"/>
  <c r="N6" i="48"/>
  <c r="N6" i="49"/>
  <c r="N6" i="32"/>
  <c r="N6" i="28"/>
  <c r="N6" i="34"/>
  <c r="N6" i="58"/>
  <c r="N6" i="51"/>
  <c r="N6" i="59"/>
  <c r="N6" i="33"/>
  <c r="N6" i="65"/>
  <c r="N6" i="23"/>
  <c r="N6" i="54"/>
  <c r="N6" i="55"/>
  <c r="B9" i="38"/>
  <c r="BL6" i="38" l="1"/>
  <c r="BK6" i="38"/>
  <c r="O9" i="38"/>
  <c r="N9" i="38"/>
  <c r="O10" i="42"/>
  <c r="P10" i="42"/>
  <c r="O10" i="39"/>
  <c r="P10" i="39"/>
  <c r="O10" i="36"/>
  <c r="P10" i="36"/>
  <c r="O10" i="62"/>
  <c r="P10" i="62"/>
  <c r="O10" i="67"/>
  <c r="P10" i="67"/>
  <c r="O10" i="44"/>
  <c r="P10" i="44"/>
  <c r="O10" i="45"/>
  <c r="P10" i="45"/>
  <c r="O10" i="40"/>
  <c r="P10" i="40"/>
  <c r="O10" i="57"/>
  <c r="P10" i="57"/>
  <c r="O10" i="14"/>
  <c r="P10" i="14"/>
  <c r="O10" i="68"/>
  <c r="P10" i="68"/>
  <c r="O10" i="64"/>
  <c r="P10" i="64"/>
  <c r="P10" i="30"/>
  <c r="O10" i="60"/>
  <c r="P10" i="60"/>
  <c r="O10" i="48"/>
  <c r="P10" i="48"/>
  <c r="O10" i="49"/>
  <c r="P10" i="49"/>
  <c r="O10" i="32"/>
  <c r="P10" i="32"/>
  <c r="O10" i="28"/>
  <c r="P10" i="28"/>
  <c r="O10" i="34"/>
  <c r="P10" i="34"/>
  <c r="O10" i="58"/>
  <c r="P10" i="58"/>
  <c r="O10" i="51"/>
  <c r="P10" i="51"/>
  <c r="O10" i="59"/>
  <c r="P10" i="59"/>
  <c r="O10" i="33"/>
  <c r="P10" i="33"/>
  <c r="O10" i="23"/>
  <c r="P10" i="23"/>
  <c r="O10" i="55"/>
  <c r="P10" i="55"/>
  <c r="O10" i="24"/>
  <c r="P10" i="24"/>
  <c r="N10" i="42"/>
  <c r="N10" i="39"/>
  <c r="N10" i="36"/>
  <c r="N10" i="62"/>
  <c r="N10" i="67"/>
  <c r="N10" i="44"/>
  <c r="N10" i="45"/>
  <c r="N10" i="40"/>
  <c r="N10" i="57"/>
  <c r="N10" i="14"/>
  <c r="N10" i="68"/>
  <c r="N10" i="64"/>
  <c r="N10" i="30"/>
  <c r="N10" i="60"/>
  <c r="N10" i="48"/>
  <c r="N10" i="49"/>
  <c r="N10" i="32"/>
  <c r="N10" i="28"/>
  <c r="N10" i="34"/>
  <c r="N10" i="58"/>
  <c r="N10" i="51"/>
  <c r="N10" i="59"/>
  <c r="N10" i="33"/>
  <c r="N10" i="23"/>
  <c r="N10" i="55"/>
  <c r="N10" i="24"/>
  <c r="G10" i="42"/>
  <c r="G10" i="39"/>
  <c r="G10" i="36"/>
  <c r="G10" i="62"/>
  <c r="G10" i="67"/>
  <c r="G10" i="44"/>
  <c r="G10" i="45"/>
  <c r="G10" i="40"/>
  <c r="G10" i="57"/>
  <c r="G10" i="14"/>
  <c r="G10" i="68"/>
  <c r="G10" i="64"/>
  <c r="G10" i="30"/>
  <c r="G10" i="60"/>
  <c r="G10" i="48"/>
  <c r="G10" i="49"/>
  <c r="G10" i="32"/>
  <c r="G10" i="28"/>
  <c r="G10" i="34"/>
  <c r="G10" i="58"/>
  <c r="G10" i="51"/>
  <c r="G10" i="59"/>
  <c r="G10" i="33"/>
  <c r="G10" i="23"/>
  <c r="G10" i="55"/>
  <c r="G10" i="24"/>
  <c r="D7" i="30" l="1"/>
  <c r="E10" i="68"/>
  <c r="D10" i="68"/>
  <c r="F9" i="68"/>
  <c r="F8" i="68"/>
  <c r="F7" i="68"/>
  <c r="I10" i="68"/>
  <c r="F6" i="68"/>
  <c r="O7" i="30" l="1"/>
  <c r="O10" i="30" s="1"/>
  <c r="BL7" i="30"/>
  <c r="L10" i="68"/>
  <c r="F10" i="68"/>
  <c r="H10" i="68"/>
  <c r="J10" i="68" s="1"/>
  <c r="M10" i="68"/>
  <c r="BM10" i="68" l="1"/>
  <c r="Q10" i="68"/>
  <c r="BL10" i="68"/>
  <c r="M10" i="67" l="1"/>
  <c r="L10" i="67"/>
  <c r="I10" i="67"/>
  <c r="J10" i="67" s="1"/>
  <c r="H10" i="67"/>
  <c r="E10" i="67"/>
  <c r="D10" i="67"/>
  <c r="F9" i="67"/>
  <c r="F8" i="67"/>
  <c r="F7" i="67"/>
  <c r="F6" i="67"/>
  <c r="Q10" i="67" l="1"/>
  <c r="BM10" i="67"/>
  <c r="BL10" i="67"/>
  <c r="F10" i="67"/>
  <c r="BN7" i="67"/>
  <c r="BN6" i="67"/>
  <c r="BN8" i="67"/>
  <c r="BN9" i="67"/>
  <c r="BN10" i="67" l="1"/>
  <c r="BN7" i="68" l="1"/>
  <c r="BN6" i="68" l="1"/>
  <c r="BN9" i="68"/>
  <c r="BN8" i="68"/>
  <c r="BN10" i="68" l="1"/>
  <c r="E8" i="65" l="1"/>
  <c r="D8" i="65"/>
  <c r="F7" i="65"/>
  <c r="F6" i="65"/>
  <c r="BL8" i="65" l="1"/>
  <c r="O8" i="65"/>
  <c r="P8" i="65"/>
  <c r="BM8" i="65"/>
  <c r="BN7" i="65"/>
  <c r="F8" i="65"/>
  <c r="BN6" i="65"/>
  <c r="BN8" i="65" l="1"/>
  <c r="M10" i="64" l="1"/>
  <c r="L10" i="64"/>
  <c r="I10" i="64"/>
  <c r="J10" i="64" s="1"/>
  <c r="H10" i="64"/>
  <c r="E10" i="64"/>
  <c r="D10" i="64"/>
  <c r="F9" i="64"/>
  <c r="F8" i="64"/>
  <c r="F7" i="64"/>
  <c r="F6" i="64"/>
  <c r="Q10" i="64" l="1"/>
  <c r="BM10" i="64"/>
  <c r="BL10" i="64"/>
  <c r="BN9" i="64"/>
  <c r="BN7" i="64"/>
  <c r="BN8" i="64"/>
  <c r="BN6" i="64"/>
  <c r="F10" i="64"/>
  <c r="BN10" i="64" l="1"/>
  <c r="M10" i="62" l="1"/>
  <c r="Q10" i="62" s="1"/>
  <c r="L10" i="62"/>
  <c r="I10" i="62"/>
  <c r="H10" i="62"/>
  <c r="BL10" i="62" s="1"/>
  <c r="E10" i="62"/>
  <c r="D10" i="62"/>
  <c r="F9" i="62"/>
  <c r="F8" i="62"/>
  <c r="F7" i="62"/>
  <c r="F6" i="62"/>
  <c r="J10" i="62" l="1"/>
  <c r="BM10" i="62"/>
  <c r="BN7" i="62"/>
  <c r="BN9" i="62"/>
  <c r="BN8" i="62"/>
  <c r="BN6" i="62"/>
  <c r="F10" i="62"/>
  <c r="BN10" i="62" l="1"/>
  <c r="F7" i="34"/>
  <c r="BN7" i="34" l="1"/>
  <c r="BK8" i="38"/>
  <c r="F7" i="46" l="1"/>
  <c r="M10" i="60" l="1"/>
  <c r="L10" i="60"/>
  <c r="Q10" i="60" s="1"/>
  <c r="I10" i="60"/>
  <c r="H10" i="60"/>
  <c r="J10" i="60" s="1"/>
  <c r="E10" i="60"/>
  <c r="D10" i="60"/>
  <c r="F6" i="60"/>
  <c r="BM10" i="60" l="1"/>
  <c r="BL10" i="60"/>
  <c r="BN7" i="60"/>
  <c r="BN6" i="60"/>
  <c r="F10" i="60"/>
  <c r="BN10" i="60" l="1"/>
  <c r="M10" i="59" l="1"/>
  <c r="L10" i="59"/>
  <c r="I10" i="59"/>
  <c r="H10" i="59"/>
  <c r="E10" i="59"/>
  <c r="D10" i="59"/>
  <c r="F9" i="59"/>
  <c r="F8" i="59"/>
  <c r="F7" i="59"/>
  <c r="F6" i="59"/>
  <c r="J10" i="59" l="1"/>
  <c r="Q10" i="59"/>
  <c r="BM10" i="59"/>
  <c r="BL10" i="59"/>
  <c r="F10" i="59"/>
  <c r="BN9" i="59"/>
  <c r="BN7" i="59"/>
  <c r="BN6" i="59"/>
  <c r="BN8" i="59"/>
  <c r="BN10" i="59" l="1"/>
  <c r="M10" i="34"/>
  <c r="L10" i="34"/>
  <c r="BL10" i="34"/>
  <c r="E10" i="34"/>
  <c r="D10" i="34"/>
  <c r="BN9" i="34"/>
  <c r="F9" i="34"/>
  <c r="F8" i="34"/>
  <c r="BN6" i="34"/>
  <c r="F6" i="34"/>
  <c r="BM10" i="34" l="1"/>
  <c r="Q10" i="34"/>
  <c r="BN8" i="34"/>
  <c r="F10" i="34"/>
  <c r="BN10" i="34" l="1"/>
  <c r="D8" i="46" l="1"/>
  <c r="E8" i="46"/>
  <c r="BN7" i="46"/>
  <c r="BL8" i="46" l="1"/>
  <c r="O8" i="46"/>
  <c r="P8" i="46"/>
  <c r="BM8" i="46"/>
  <c r="M10" i="58"/>
  <c r="Q10" i="58" s="1"/>
  <c r="L10" i="58"/>
  <c r="I10" i="58"/>
  <c r="H10" i="58"/>
  <c r="E10" i="58"/>
  <c r="D10" i="58"/>
  <c r="F9" i="58"/>
  <c r="F8" i="58"/>
  <c r="F7" i="58"/>
  <c r="F6" i="58"/>
  <c r="J10" i="58" l="1"/>
  <c r="BM10" i="58"/>
  <c r="BL10" i="58"/>
  <c r="BN9" i="58"/>
  <c r="BN7" i="58"/>
  <c r="BN6" i="58"/>
  <c r="BN8" i="58"/>
  <c r="F10" i="58"/>
  <c r="BN10" i="58" l="1"/>
  <c r="M10" i="57"/>
  <c r="L10" i="57"/>
  <c r="I10" i="57"/>
  <c r="H10" i="57"/>
  <c r="BL10" i="57" s="1"/>
  <c r="E10" i="57"/>
  <c r="D10" i="57"/>
  <c r="F9" i="57"/>
  <c r="F8" i="57"/>
  <c r="F7" i="57"/>
  <c r="F6" i="57"/>
  <c r="J10" i="57" l="1"/>
  <c r="Q10" i="57"/>
  <c r="BM10" i="57"/>
  <c r="F10" i="57"/>
  <c r="BN9" i="57"/>
  <c r="BN8" i="57"/>
  <c r="BN7" i="57"/>
  <c r="BN6" i="57"/>
  <c r="BN10" i="57" l="1"/>
  <c r="M10" i="55" l="1"/>
  <c r="L10" i="55"/>
  <c r="I10" i="55"/>
  <c r="H10" i="55"/>
  <c r="BL10" i="55" s="1"/>
  <c r="E10" i="55"/>
  <c r="D10" i="55"/>
  <c r="F9" i="55"/>
  <c r="F8" i="55"/>
  <c r="F7" i="55"/>
  <c r="F6" i="55"/>
  <c r="E9" i="54"/>
  <c r="D9" i="54"/>
  <c r="F8" i="54"/>
  <c r="F7" i="54"/>
  <c r="F6" i="54"/>
  <c r="M10" i="51"/>
  <c r="Q10" i="51" s="1"/>
  <c r="L10" i="51"/>
  <c r="I10" i="51"/>
  <c r="H10" i="51"/>
  <c r="E10" i="51"/>
  <c r="D10" i="51"/>
  <c r="F9" i="51"/>
  <c r="F8" i="51"/>
  <c r="F7" i="51"/>
  <c r="F6" i="51"/>
  <c r="M10" i="49"/>
  <c r="L10" i="49"/>
  <c r="I10" i="49"/>
  <c r="J10" i="49" s="1"/>
  <c r="H10" i="49"/>
  <c r="E10" i="49"/>
  <c r="D10" i="49"/>
  <c r="F9" i="49"/>
  <c r="F8" i="49"/>
  <c r="F7" i="49"/>
  <c r="F6" i="49"/>
  <c r="M10" i="48"/>
  <c r="Q10" i="48" s="1"/>
  <c r="L10" i="48"/>
  <c r="I10" i="48"/>
  <c r="H10" i="48"/>
  <c r="E10" i="48"/>
  <c r="F10" i="48" s="1"/>
  <c r="D10" i="48"/>
  <c r="F6" i="48"/>
  <c r="E8" i="47"/>
  <c r="D8" i="47"/>
  <c r="BN7" i="47"/>
  <c r="F7" i="47"/>
  <c r="BN6" i="47"/>
  <c r="F6" i="47"/>
  <c r="F6" i="46"/>
  <c r="M10" i="45"/>
  <c r="L10" i="45"/>
  <c r="Q10" i="45" s="1"/>
  <c r="I10" i="45"/>
  <c r="J10" i="45" s="1"/>
  <c r="H10" i="45"/>
  <c r="E10" i="45"/>
  <c r="D10" i="45"/>
  <c r="F9" i="45"/>
  <c r="F8" i="45"/>
  <c r="F7" i="45"/>
  <c r="F6" i="45"/>
  <c r="M10" i="44"/>
  <c r="Q10" i="44" s="1"/>
  <c r="L10" i="44"/>
  <c r="I10" i="44"/>
  <c r="H10" i="44"/>
  <c r="BL10" i="44" s="1"/>
  <c r="E10" i="44"/>
  <c r="D10" i="44"/>
  <c r="F9" i="44"/>
  <c r="F8" i="44"/>
  <c r="F7" i="44"/>
  <c r="F6" i="44"/>
  <c r="M10" i="42"/>
  <c r="L10" i="42"/>
  <c r="I10" i="42"/>
  <c r="H10" i="42"/>
  <c r="E10" i="42"/>
  <c r="D10" i="42"/>
  <c r="F9" i="42"/>
  <c r="F8" i="42"/>
  <c r="F7" i="42"/>
  <c r="F6" i="42"/>
  <c r="M10" i="40"/>
  <c r="Q10" i="40" s="1"/>
  <c r="L10" i="40"/>
  <c r="I10" i="40"/>
  <c r="H10" i="40"/>
  <c r="BL10" i="40" s="1"/>
  <c r="E10" i="40"/>
  <c r="D10" i="40"/>
  <c r="F9" i="40"/>
  <c r="F8" i="40"/>
  <c r="F7" i="40"/>
  <c r="F6" i="40"/>
  <c r="O9" i="54" l="1"/>
  <c r="BL9" i="54"/>
  <c r="P9" i="54"/>
  <c r="BM9" i="54"/>
  <c r="J10" i="51"/>
  <c r="Q10" i="49"/>
  <c r="BL10" i="49"/>
  <c r="P8" i="47"/>
  <c r="BM8" i="47"/>
  <c r="BL8" i="47"/>
  <c r="O8" i="47"/>
  <c r="BL10" i="45"/>
  <c r="Q10" i="42"/>
  <c r="J10" i="44"/>
  <c r="Q10" i="55"/>
  <c r="BL10" i="48"/>
  <c r="BM10" i="44"/>
  <c r="BM10" i="45"/>
  <c r="BM10" i="55"/>
  <c r="J10" i="55"/>
  <c r="BL10" i="51"/>
  <c r="BM10" i="51"/>
  <c r="BM10" i="49"/>
  <c r="BM10" i="42"/>
  <c r="J10" i="42"/>
  <c r="BL10" i="42"/>
  <c r="BM10" i="48"/>
  <c r="J10" i="48"/>
  <c r="BM10" i="40"/>
  <c r="J10" i="40"/>
  <c r="F8" i="47"/>
  <c r="BN7" i="45"/>
  <c r="F8" i="46"/>
  <c r="BN6" i="46"/>
  <c r="BN6" i="54"/>
  <c r="BN7" i="54"/>
  <c r="BN8" i="54"/>
  <c r="BN9" i="55"/>
  <c r="BN8" i="55"/>
  <c r="BN7" i="55"/>
  <c r="BN9" i="51"/>
  <c r="BN8" i="51"/>
  <c r="BN7" i="51"/>
  <c r="BN7" i="49"/>
  <c r="BN6" i="49"/>
  <c r="BN9" i="49"/>
  <c r="BN8" i="49"/>
  <c r="BN8" i="45"/>
  <c r="BN9" i="45"/>
  <c r="BN7" i="44"/>
  <c r="BN9" i="44"/>
  <c r="BN8" i="44"/>
  <c r="BN6" i="42"/>
  <c r="BN9" i="42"/>
  <c r="BN8" i="42"/>
  <c r="BN7" i="42"/>
  <c r="F10" i="55"/>
  <c r="BN6" i="55"/>
  <c r="F10" i="51"/>
  <c r="BN6" i="51"/>
  <c r="BN6" i="45"/>
  <c r="BN9" i="40"/>
  <c r="BN8" i="40"/>
  <c r="BN7" i="40"/>
  <c r="BN6" i="40"/>
  <c r="F9" i="54"/>
  <c r="F10" i="49"/>
  <c r="F10" i="45"/>
  <c r="F10" i="44"/>
  <c r="F10" i="42"/>
  <c r="F10" i="40"/>
  <c r="BN8" i="47" l="1"/>
  <c r="BN10" i="44"/>
  <c r="BN8" i="46"/>
  <c r="BN9" i="54"/>
  <c r="BN10" i="55"/>
  <c r="BN10" i="51"/>
  <c r="BN10" i="49"/>
  <c r="BN10" i="45"/>
  <c r="BN10" i="42"/>
  <c r="BN10" i="40"/>
  <c r="M10" i="39" l="1"/>
  <c r="L10" i="39"/>
  <c r="I10" i="39"/>
  <c r="H10" i="39"/>
  <c r="BK10" i="39" s="1"/>
  <c r="E10" i="39"/>
  <c r="D10" i="39"/>
  <c r="F9" i="39"/>
  <c r="F8" i="39"/>
  <c r="F7" i="39"/>
  <c r="F6" i="39"/>
  <c r="BL10" i="39" l="1"/>
  <c r="F10" i="39"/>
  <c r="BM6" i="39"/>
  <c r="BM9" i="39"/>
  <c r="BM8" i="39"/>
  <c r="BM7" i="39"/>
  <c r="BL8" i="38"/>
  <c r="BM8" i="38" s="1"/>
  <c r="D9" i="38"/>
  <c r="BL9" i="38" s="1"/>
  <c r="BK9" i="38"/>
  <c r="BM6" i="38"/>
  <c r="E6" i="38"/>
  <c r="M10" i="36"/>
  <c r="L10" i="36"/>
  <c r="I10" i="36"/>
  <c r="H10" i="36"/>
  <c r="BL10" i="36" s="1"/>
  <c r="E10" i="36"/>
  <c r="D10" i="36"/>
  <c r="F9" i="36"/>
  <c r="F8" i="36"/>
  <c r="F7" i="36"/>
  <c r="F6" i="36"/>
  <c r="Q10" i="36" l="1"/>
  <c r="J10" i="36"/>
  <c r="BM10" i="36"/>
  <c r="E9" i="38"/>
  <c r="BN9" i="36"/>
  <c r="BN7" i="36"/>
  <c r="BN8" i="36"/>
  <c r="BN6" i="36"/>
  <c r="F10" i="36"/>
  <c r="BM10" i="39"/>
  <c r="BM9" i="38" l="1"/>
  <c r="BN10" i="36"/>
  <c r="M10" i="33"/>
  <c r="Q10" i="33" s="1"/>
  <c r="L10" i="33"/>
  <c r="I10" i="33"/>
  <c r="H10" i="33"/>
  <c r="E10" i="33"/>
  <c r="D10" i="33"/>
  <c r="F9" i="33"/>
  <c r="F8" i="33"/>
  <c r="F7" i="33"/>
  <c r="F6" i="33"/>
  <c r="M10" i="32"/>
  <c r="L10" i="32"/>
  <c r="I10" i="32"/>
  <c r="J10" i="32" s="1"/>
  <c r="H10" i="32"/>
  <c r="BL10" i="32" s="1"/>
  <c r="E10" i="32"/>
  <c r="D10" i="32"/>
  <c r="F9" i="32"/>
  <c r="F8" i="32"/>
  <c r="F7" i="32"/>
  <c r="F6" i="32"/>
  <c r="M10" i="30"/>
  <c r="L10" i="30"/>
  <c r="I10" i="30"/>
  <c r="J10" i="30" s="1"/>
  <c r="H10" i="30"/>
  <c r="E10" i="30"/>
  <c r="D10" i="30"/>
  <c r="F9" i="30"/>
  <c r="F8" i="30"/>
  <c r="F7" i="30"/>
  <c r="F6" i="30"/>
  <c r="M10" i="28"/>
  <c r="Q10" i="28" s="1"/>
  <c r="L10" i="28"/>
  <c r="I10" i="28"/>
  <c r="H10" i="28"/>
  <c r="E10" i="28"/>
  <c r="D10" i="28"/>
  <c r="F9" i="28"/>
  <c r="F8" i="28"/>
  <c r="F7" i="28"/>
  <c r="F6" i="28"/>
  <c r="M10" i="24"/>
  <c r="L10" i="24"/>
  <c r="I10" i="24"/>
  <c r="H10" i="24"/>
  <c r="E10" i="24"/>
  <c r="D10" i="24"/>
  <c r="F9" i="24"/>
  <c r="F8" i="24"/>
  <c r="F7" i="24"/>
  <c r="F6" i="24"/>
  <c r="M10" i="23"/>
  <c r="L10" i="23"/>
  <c r="I10" i="23"/>
  <c r="E10" i="23"/>
  <c r="D10" i="23"/>
  <c r="BL10" i="23" s="1"/>
  <c r="F9" i="23"/>
  <c r="F8" i="23"/>
  <c r="F7" i="23"/>
  <c r="F6" i="23"/>
  <c r="F6" i="14"/>
  <c r="M10" i="14"/>
  <c r="Q10" i="14" s="1"/>
  <c r="L10" i="14"/>
  <c r="I10" i="14"/>
  <c r="H10" i="14"/>
  <c r="E10" i="14"/>
  <c r="D10" i="14"/>
  <c r="Q10" i="23" l="1"/>
  <c r="BM10" i="23"/>
  <c r="J10" i="23"/>
  <c r="Q10" i="32"/>
  <c r="Q10" i="30"/>
  <c r="Q10" i="24"/>
  <c r="J10" i="28"/>
  <c r="BM10" i="28"/>
  <c r="BL10" i="28"/>
  <c r="BM10" i="32"/>
  <c r="J10" i="33"/>
  <c r="BL10" i="33"/>
  <c r="BM10" i="33"/>
  <c r="BL10" i="30"/>
  <c r="BM10" i="30"/>
  <c r="BL10" i="24"/>
  <c r="BM10" i="24"/>
  <c r="D3" i="69" s="1"/>
  <c r="E3" i="69" s="1"/>
  <c r="J10" i="24"/>
  <c r="F10" i="33"/>
  <c r="F10" i="30"/>
  <c r="BN9" i="28"/>
  <c r="BN8" i="28"/>
  <c r="BN7" i="28"/>
  <c r="BN6" i="28"/>
  <c r="F10" i="28"/>
  <c r="BN9" i="24"/>
  <c r="BN8" i="24"/>
  <c r="BN7" i="24"/>
  <c r="F10" i="24"/>
  <c r="BN6" i="24"/>
  <c r="BN9" i="23"/>
  <c r="BN8" i="33"/>
  <c r="BN6" i="33"/>
  <c r="BN9" i="33"/>
  <c r="BN7" i="33"/>
  <c r="BN9" i="32"/>
  <c r="BN7" i="32"/>
  <c r="BN6" i="32"/>
  <c r="BN8" i="32"/>
  <c r="F10" i="32"/>
  <c r="BN6" i="30"/>
  <c r="BN9" i="30"/>
  <c r="BN8" i="30"/>
  <c r="BN7" i="30"/>
  <c r="BN7" i="23"/>
  <c r="BN8" i="23"/>
  <c r="BN6" i="23"/>
  <c r="F10" i="23"/>
  <c r="BN10" i="33" l="1"/>
  <c r="BN10" i="28"/>
  <c r="BN10" i="24"/>
  <c r="BN10" i="23"/>
  <c r="BN10" i="32"/>
  <c r="BN10" i="30"/>
  <c r="BN10" i="48"/>
</calcChain>
</file>

<file path=xl/sharedStrings.xml><?xml version="1.0" encoding="utf-8"?>
<sst xmlns="http://schemas.openxmlformats.org/spreadsheetml/2006/main" count="1608" uniqueCount="159">
  <si>
    <t>May</t>
  </si>
  <si>
    <t>June</t>
  </si>
  <si>
    <t>July</t>
  </si>
  <si>
    <t>LCV</t>
  </si>
  <si>
    <t>HCV</t>
  </si>
  <si>
    <t>Buses and coaches</t>
  </si>
  <si>
    <t>Passenger cars</t>
  </si>
  <si>
    <t>Total</t>
  </si>
  <si>
    <t>January</t>
  </si>
  <si>
    <t>February</t>
  </si>
  <si>
    <t>March</t>
  </si>
  <si>
    <t>April</t>
  </si>
  <si>
    <t>August</t>
  </si>
  <si>
    <t>September</t>
  </si>
  <si>
    <t>October</t>
  </si>
  <si>
    <t>November</t>
  </si>
  <si>
    <t>December</t>
  </si>
  <si>
    <t>GERMANY</t>
  </si>
  <si>
    <t>AUSTRALIA</t>
  </si>
  <si>
    <t>SOUTH AFRICA</t>
  </si>
  <si>
    <t>PORTUGAL</t>
  </si>
  <si>
    <t>ROMANIA</t>
  </si>
  <si>
    <t xml:space="preserve">Source: </t>
  </si>
  <si>
    <t>Source: VDA</t>
  </si>
  <si>
    <t>Source: ANFIA</t>
  </si>
  <si>
    <t>RUSSIA</t>
  </si>
  <si>
    <t>Source: SIAM</t>
  </si>
  <si>
    <t>INDIA</t>
  </si>
  <si>
    <t>Cumulative total</t>
  </si>
  <si>
    <t>Variation</t>
  </si>
  <si>
    <t>Source: ACAP</t>
  </si>
  <si>
    <t>Source: NAAMSA</t>
  </si>
  <si>
    <t>SWITZERLAND</t>
  </si>
  <si>
    <t>Source: OAR</t>
  </si>
  <si>
    <t>BRAZIL</t>
  </si>
  <si>
    <t>CHINA</t>
  </si>
  <si>
    <t>LCV *</t>
  </si>
  <si>
    <t>Source: CAAM</t>
  </si>
  <si>
    <t>*</t>
  </si>
  <si>
    <t>Including minibuses</t>
  </si>
  <si>
    <t>USA</t>
  </si>
  <si>
    <t>TURKEY</t>
  </si>
  <si>
    <t>SUV</t>
  </si>
  <si>
    <t>Heavy Commercial</t>
  </si>
  <si>
    <t>Light Commercial</t>
  </si>
  <si>
    <t>https://www.naamsa.co.za/index.aspx</t>
  </si>
  <si>
    <t>BELGIUM</t>
  </si>
  <si>
    <t>Source: Febiac</t>
  </si>
  <si>
    <t>Source: http://www.apia.ro/publications/statistical-bulletin/</t>
  </si>
  <si>
    <t>FRANCE</t>
  </si>
  <si>
    <t>Source: CCFA</t>
  </si>
  <si>
    <t>KOREA</t>
  </si>
  <si>
    <t>Source: KAMA</t>
  </si>
  <si>
    <t>AUSTRIA</t>
  </si>
  <si>
    <t>BULGARIA</t>
  </si>
  <si>
    <t>Source: ACM</t>
  </si>
  <si>
    <t>CROATIA</t>
  </si>
  <si>
    <t>Source: CACID</t>
  </si>
  <si>
    <t>FINLAND</t>
  </si>
  <si>
    <t>INDONESIA</t>
  </si>
  <si>
    <t>KAZAKHSTAN</t>
  </si>
  <si>
    <t>Source: BIL</t>
  </si>
  <si>
    <t>NETHERLANDS</t>
  </si>
  <si>
    <t>NORWAY</t>
  </si>
  <si>
    <t>SPAIN</t>
  </si>
  <si>
    <t xml:space="preserve">Source: 
ANFAC </t>
  </si>
  <si>
    <t>SWEDEN</t>
  </si>
  <si>
    <t>Source: 
BIL Sweden</t>
  </si>
  <si>
    <t>THAILAND</t>
  </si>
  <si>
    <t>Source: 
TAIA</t>
  </si>
  <si>
    <t>UKRAINE</t>
  </si>
  <si>
    <t>Source: 
Ukrautoprom</t>
  </si>
  <si>
    <t>UNITED KINGDOM</t>
  </si>
  <si>
    <t>Source: SMMT</t>
  </si>
  <si>
    <t>https://www.gaikindo.or.id/en/indonesian-automobile-industry-data/</t>
  </si>
  <si>
    <t>LCV+ HCV</t>
  </si>
  <si>
    <t>Commercial vehicles (LCV, HCV, Buses)</t>
  </si>
  <si>
    <t>ITALY</t>
  </si>
  <si>
    <t>JAPAN</t>
  </si>
  <si>
    <t xml:space="preserve">Passenger cars </t>
  </si>
  <si>
    <t>http://www.fcai.com.au/news/index/index/pg</t>
  </si>
  <si>
    <t>Source:  Japan Automobile Dealers Association (JADA), Japan Light Motor Vehicle and Motorcycle Association</t>
  </si>
  <si>
    <t>http://jamaserv.jama.or.jp/newdb/eng/index.html</t>
  </si>
  <si>
    <t>Note: LCV = small + mini trucks</t>
  </si>
  <si>
    <t>Note: HCV=standard trucks</t>
  </si>
  <si>
    <t>http://www.osd.org.tr/osd-publications-/automotive-industry-monthly-report/</t>
  </si>
  <si>
    <t>Pick-up numbers included in LCV</t>
  </si>
  <si>
    <t>Passenger cars*</t>
  </si>
  <si>
    <t>*: Automoveis</t>
  </si>
  <si>
    <t>LCV**</t>
  </si>
  <si>
    <t>**: Comerciais leves</t>
  </si>
  <si>
    <t>Trucks (light up to heavy)***</t>
  </si>
  <si>
    <t>***: Caminhoes</t>
  </si>
  <si>
    <t>Buses and coaches****</t>
  </si>
  <si>
    <t>****:Onibus</t>
  </si>
  <si>
    <t>http://www.aut.fi/en/statistics/new_registrations/monthly/2020</t>
  </si>
  <si>
    <t xml:space="preserve">https://ccfa.fr/communiques-de-presse/ </t>
  </si>
  <si>
    <t xml:space="preserve">https://ccfa.fr/immatriculations-commandes/ </t>
  </si>
  <si>
    <t xml:space="preserve">https://www.vda.de/en/services/facts-and-figures/monthly-figures.html </t>
  </si>
  <si>
    <t xml:space="preserve">https://www.raivereniging.nl/artikel/marktinformatie/statistieken/europese-auto-statistieken.html </t>
  </si>
  <si>
    <t>ISRAEL</t>
  </si>
  <si>
    <t xml:space="preserve">* New vehicles registrations </t>
  </si>
  <si>
    <t xml:space="preserve">Source: RAI </t>
  </si>
  <si>
    <t>https://www.taia.or.th/Statistics/</t>
  </si>
  <si>
    <t>Source: FFÖ</t>
  </si>
  <si>
    <t xml:space="preserve">https://www.fahrzeugindustrie.at/zahlen-fakten/statistikjahrbuch/ </t>
  </si>
  <si>
    <t xml:space="preserve">http://www.febiac.be/public/list_pressreleases.aspx?lang=FR </t>
  </si>
  <si>
    <t>Source: ANFAVEA</t>
  </si>
  <si>
    <t xml:space="preserve"> http://www.anfavea.com.br/estatisticas  </t>
  </si>
  <si>
    <t>Commercial vechicles (LCV, HCV, Buses)</t>
  </si>
  <si>
    <t>http://kazautoprom.kz/press-releases</t>
  </si>
  <si>
    <t>http://www.kama.or.kr/BoardController</t>
  </si>
  <si>
    <t>https://bilimportorene.no/category/nyheter/</t>
  </si>
  <si>
    <t>LCV + minibuses + picks ups</t>
  </si>
  <si>
    <t>https://www.acap.pt/pt/estatisticas</t>
  </si>
  <si>
    <t>Source: auto-schweiz</t>
  </si>
  <si>
    <t>http://www.oar-info.ru/index.php?id=484</t>
  </si>
  <si>
    <t>https://anfac.com/cifras-clave/matriculaciones-turismos-y-todoterreno/</t>
  </si>
  <si>
    <t>http://www.bilsweden.se/statistik#</t>
  </si>
  <si>
    <t>https://www.auto.swiss/#statistics</t>
  </si>
  <si>
    <t>https://www.smmt.co.uk/category/news/registrations/</t>
  </si>
  <si>
    <t>Passenger cars + LCV + HCV</t>
  </si>
  <si>
    <t>- light  vehicles reports limited to 4,500 kg gross vehicle weight </t>
  </si>
  <si>
    <t>- heavy commercial vehicles reports include vehicles ranging in weight from 3,500 kg</t>
  </si>
  <si>
    <t xml:space="preserve">http://www.fcai.com.au/news/index/view/news/659 </t>
  </si>
  <si>
    <t xml:space="preserve">https://naamsa.co.za/NewVehicleStatistics.aspx </t>
  </si>
  <si>
    <t xml:space="preserve">http://www.bilsweden.se/statistik/nyregistreringar </t>
  </si>
  <si>
    <t>https://ukrautoprom.com.ua/en/category/statistics</t>
  </si>
  <si>
    <t>Statistik Austria</t>
  </si>
  <si>
    <t>Cumulative variation 2021/2020</t>
  </si>
  <si>
    <t>2021/2020</t>
  </si>
  <si>
    <t xml:space="preserve">https://www.aut.fi/en/statistics/new_registrations/monthly/2021 </t>
  </si>
  <si>
    <t>Source: Statistik Austria</t>
  </si>
  <si>
    <t xml:space="preserve">https://www.raivereniging.nl/artikel/marktinformatie/actuele-verkoopcijfers/maandelijkse-verkoopcijfers.html </t>
  </si>
  <si>
    <t>Reports (car-importers.org.il)</t>
  </si>
  <si>
    <t>Cumulative April-June</t>
  </si>
  <si>
    <t>Cumulative July-September</t>
  </si>
  <si>
    <t>Cumulative October-December</t>
  </si>
  <si>
    <t>Cumulative January-March</t>
  </si>
  <si>
    <t>Light Truck</t>
  </si>
  <si>
    <t>Source: Auto Innovators/Wards Intelligence</t>
  </si>
  <si>
    <t>Passenger Car</t>
  </si>
  <si>
    <t>Med. HCV/Buses and coaches</t>
  </si>
  <si>
    <t>Source: KazAvtoProm</t>
  </si>
  <si>
    <t xml:space="preserve">*  Tata Motors data is not included in Monthly sales but it is included in Jan-March sales </t>
  </si>
  <si>
    <t>variation 
2021/2020</t>
  </si>
  <si>
    <t>-</t>
  </si>
  <si>
    <t>NA</t>
  </si>
  <si>
    <t>M&amp;HCVs-Goods Carrier</t>
  </si>
  <si>
    <t>* does not includes data of BMW, Mercedes, Tata Motors &amp; Volvo Auto in monthly data</t>
  </si>
  <si>
    <t>* does not includes data of BMW, Mercedes &amp; Volvo Auto in Cumulative data</t>
  </si>
  <si>
    <t>Daimler &amp; Scania data is not available in commercial vehicles</t>
  </si>
  <si>
    <t>NA= Not available</t>
  </si>
  <si>
    <t xml:space="preserve"> LCVs-Goods Carrier</t>
  </si>
  <si>
    <t xml:space="preserve">HCV </t>
  </si>
  <si>
    <t>Source: IVIA</t>
  </si>
  <si>
    <t>https://www.anfia.it/en/statistical-data/italy-new-registrations</t>
  </si>
  <si>
    <t>Commercial vehicles (LCV, HCV , Buses and coaches)</t>
  </si>
  <si>
    <t>Cumulative January -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</si>
</sst>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;[Red]\-0.0"/>
    <numFmt numFmtId="165" formatCode="_-* #,##0_-;\-* #,##0_-;_-* &quot;-&quot;??_-;_-@_-"/>
    <numFmt numFmtId="166" formatCode="0.0%"/>
    <numFmt numFmtId="167" formatCode="#,##0_);[Red]\(#,##0\)"/>
    <numFmt numFmtId="168" formatCode="_(* #,##0.00_);_(* \(#,##0.00\);_(* &quot;-&quot;??_);_(@_)"/>
    <numFmt numFmtId="169" formatCode="_(* #,##0_);_(* \(#,##0\);_(* &quot;-&quot;??_);_(@_)"/>
    <numFmt numFmtId="170" formatCode="#,##0.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i/>
      <sz val="8"/>
      <name val="Arial"/>
      <family val="2"/>
    </font>
    <font>
      <b/>
      <sz val="11"/>
      <color theme="1"/>
      <name val="Calibri"/>
      <family val="2"/>
    </font>
    <font>
      <sz val="14"/>
      <color rgb="FF303036"/>
      <name val="Segoe UI"/>
      <family val="2"/>
    </font>
    <font>
      <b/>
      <sz val="11"/>
      <color theme="1"/>
      <name val="Calibri"/>
      <family val="3"/>
      <charset val="134"/>
      <scheme val="minor"/>
    </font>
    <font>
      <sz val="10"/>
      <name val="Helvetica"/>
    </font>
    <font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11"/>
      <color rgb="FF1F497D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name val="Arial"/>
    </font>
    <font>
      <i/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4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164" fontId="5" fillId="0" borderId="0" applyFill="0" applyBorder="0" applyAlignment="0" applyProtection="0"/>
    <xf numFmtId="43" fontId="5" fillId="0" borderId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43" fontId="5" fillId="0" borderId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9" fontId="1" fillId="0" borderId="0" applyFont="0" applyFill="0" applyBorder="0" applyAlignment="0" applyProtection="0"/>
    <xf numFmtId="0" fontId="6" fillId="0" borderId="0"/>
    <xf numFmtId="0" fontId="35" fillId="0" borderId="0"/>
  </cellStyleXfs>
  <cellXfs count="435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  <xf numFmtId="3" fontId="0" fillId="0" borderId="1" xfId="0" applyNumberFormat="1" applyBorder="1" applyAlignment="1">
      <alignment vertical="center"/>
    </xf>
    <xf numFmtId="3" fontId="5" fillId="2" borderId="5" xfId="0" applyNumberFormat="1" applyFont="1" applyFill="1" applyBorder="1" applyAlignment="1">
      <alignment horizontal="right"/>
    </xf>
    <xf numFmtId="165" fontId="5" fillId="3" borderId="3" xfId="6" applyNumberFormat="1" applyFill="1" applyBorder="1" applyAlignment="1">
      <alignment horizontal="right"/>
    </xf>
    <xf numFmtId="3" fontId="6" fillId="2" borderId="5" xfId="0" applyNumberFormat="1" applyFont="1" applyFill="1" applyBorder="1" applyAlignment="1">
      <alignment horizontal="right"/>
    </xf>
    <xf numFmtId="3" fontId="6" fillId="2" borderId="3" xfId="0" applyNumberFormat="1" applyFont="1" applyFill="1" applyBorder="1" applyAlignment="1">
      <alignment horizontal="right"/>
    </xf>
    <xf numFmtId="0" fontId="2" fillId="0" borderId="0" xfId="0" applyFont="1"/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1" fillId="0" borderId="1" xfId="1" applyNumberFormat="1" applyFont="1" applyBorder="1"/>
    <xf numFmtId="166" fontId="2" fillId="0" borderId="1" xfId="1" applyNumberFormat="1" applyFont="1" applyBorder="1"/>
    <xf numFmtId="3" fontId="2" fillId="0" borderId="4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4" xfId="0" applyBorder="1" applyAlignment="1">
      <alignment horizontal="left"/>
    </xf>
    <xf numFmtId="10" fontId="0" fillId="0" borderId="4" xfId="0" applyNumberFormat="1" applyBorder="1"/>
    <xf numFmtId="3" fontId="8" fillId="0" borderId="0" xfId="0" applyNumberFormat="1" applyFont="1"/>
    <xf numFmtId="0" fontId="0" fillId="0" borderId="0" xfId="0"/>
    <xf numFmtId="49" fontId="0" fillId="0" borderId="0" xfId="0" applyNumberFormat="1"/>
    <xf numFmtId="3" fontId="0" fillId="0" borderId="0" xfId="0" applyNumberFormat="1"/>
    <xf numFmtId="0" fontId="2" fillId="0" borderId="12" xfId="0" applyFont="1" applyBorder="1" applyAlignment="1">
      <alignment vertical="center"/>
    </xf>
    <xf numFmtId="0" fontId="9" fillId="0" borderId="0" xfId="7" applyFont="1">
      <alignment vertical="center"/>
    </xf>
    <xf numFmtId="0" fontId="9" fillId="0" borderId="0" xfId="0" applyFont="1"/>
    <xf numFmtId="3" fontId="9" fillId="0" borderId="0" xfId="0" applyNumberFormat="1" applyFont="1"/>
    <xf numFmtId="0" fontId="9" fillId="0" borderId="0" xfId="7" applyFont="1" applyBorder="1" applyAlignment="1">
      <alignment vertical="center"/>
    </xf>
    <xf numFmtId="0" fontId="8" fillId="0" borderId="0" xfId="0" applyFont="1"/>
    <xf numFmtId="166" fontId="2" fillId="0" borderId="4" xfId="1" applyNumberFormat="1" applyFont="1" applyBorder="1"/>
    <xf numFmtId="3" fontId="0" fillId="0" borderId="4" xfId="0" applyNumberFormat="1" applyBorder="1"/>
    <xf numFmtId="166" fontId="1" fillId="0" borderId="4" xfId="1" applyNumberFormat="1" applyFont="1" applyBorder="1"/>
    <xf numFmtId="0" fontId="1" fillId="0" borderId="4" xfId="1" applyFont="1" applyBorder="1"/>
    <xf numFmtId="0" fontId="2" fillId="0" borderId="4" xfId="0" applyFont="1" applyBorder="1" applyAlignment="1">
      <alignment horizontal="center" wrapText="1"/>
    </xf>
    <xf numFmtId="3" fontId="0" fillId="0" borderId="4" xfId="0" applyNumberFormat="1" applyBorder="1" applyAlignment="1">
      <alignment vertical="center"/>
    </xf>
    <xf numFmtId="0" fontId="2" fillId="0" borderId="4" xfId="0" applyFont="1" applyBorder="1" applyAlignment="1">
      <alignment horizontal="left"/>
    </xf>
    <xf numFmtId="49" fontId="8" fillId="0" borderId="0" xfId="0" applyNumberFormat="1" applyFont="1"/>
    <xf numFmtId="3" fontId="0" fillId="0" borderId="13" xfId="0" applyNumberFormat="1" applyBorder="1"/>
    <xf numFmtId="0" fontId="0" fillId="0" borderId="0" xfId="0" applyAlignment="1">
      <alignment horizontal="right"/>
    </xf>
    <xf numFmtId="49" fontId="0" fillId="0" borderId="0" xfId="0" quotePrefix="1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3" fontId="0" fillId="0" borderId="0" xfId="0" applyNumberFormat="1" applyBorder="1"/>
    <xf numFmtId="0" fontId="0" fillId="0" borderId="0" xfId="0" applyBorder="1"/>
    <xf numFmtId="165" fontId="5" fillId="0" borderId="3" xfId="6" applyNumberFormat="1" applyFill="1" applyBorder="1" applyAlignment="1">
      <alignment horizontal="right"/>
    </xf>
    <xf numFmtId="3" fontId="0" fillId="0" borderId="1" xfId="0" applyNumberFormat="1" applyFill="1" applyBorder="1"/>
    <xf numFmtId="49" fontId="10" fillId="0" borderId="0" xfId="9" applyNumberFormat="1"/>
    <xf numFmtId="166" fontId="0" fillId="0" borderId="4" xfId="0" applyNumberFormat="1" applyBorder="1"/>
    <xf numFmtId="166" fontId="2" fillId="0" borderId="4" xfId="0" applyNumberFormat="1" applyFont="1" applyBorder="1"/>
    <xf numFmtId="0" fontId="0" fillId="0" borderId="0" xfId="0"/>
    <xf numFmtId="0" fontId="0" fillId="0" borderId="4" xfId="0" applyBorder="1"/>
    <xf numFmtId="3" fontId="0" fillId="0" borderId="4" xfId="0" applyNumberFormat="1" applyBorder="1"/>
    <xf numFmtId="3" fontId="2" fillId="0" borderId="4" xfId="0" applyNumberFormat="1" applyFont="1" applyBorder="1"/>
    <xf numFmtId="3" fontId="0" fillId="0" borderId="4" xfId="0" applyNumberFormat="1" applyBorder="1" applyAlignment="1">
      <alignment vertical="center"/>
    </xf>
    <xf numFmtId="3" fontId="6" fillId="2" borderId="3" xfId="0" applyNumberFormat="1" applyFont="1" applyFill="1" applyBorder="1" applyAlignment="1">
      <alignment horizontal="right"/>
    </xf>
    <xf numFmtId="0" fontId="2" fillId="0" borderId="0" xfId="0" applyFont="1"/>
    <xf numFmtId="0" fontId="2" fillId="0" borderId="4" xfId="0" applyFont="1" applyBorder="1" applyAlignment="1">
      <alignment horizontal="center"/>
    </xf>
    <xf numFmtId="166" fontId="1" fillId="0" borderId="4" xfId="1" applyNumberFormat="1" applyFont="1" applyBorder="1"/>
    <xf numFmtId="166" fontId="2" fillId="0" borderId="4" xfId="1" applyNumberFormat="1" applyFont="1" applyBorder="1"/>
    <xf numFmtId="10" fontId="2" fillId="0" borderId="4" xfId="0" applyNumberFormat="1" applyFont="1" applyBorder="1"/>
    <xf numFmtId="3" fontId="8" fillId="0" borderId="0" xfId="0" applyNumberFormat="1" applyFont="1"/>
    <xf numFmtId="49" fontId="0" fillId="0" borderId="0" xfId="0" applyNumberFormat="1"/>
    <xf numFmtId="3" fontId="0" fillId="0" borderId="0" xfId="0" applyNumberFormat="1"/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10" fillId="0" borderId="0" xfId="9"/>
    <xf numFmtId="0" fontId="0" fillId="0" borderId="0" xfId="0" applyAlignment="1">
      <alignment vertical="center"/>
    </xf>
    <xf numFmtId="3" fontId="11" fillId="0" borderId="4" xfId="0" applyNumberFormat="1" applyFont="1" applyBorder="1"/>
    <xf numFmtId="3" fontId="6" fillId="0" borderId="3" xfId="0" applyNumberFormat="1" applyFont="1" applyFill="1" applyBorder="1" applyAlignment="1">
      <alignment horizontal="right"/>
    </xf>
    <xf numFmtId="3" fontId="0" fillId="0" borderId="4" xfId="0" applyNumberFormat="1" applyFill="1" applyBorder="1"/>
    <xf numFmtId="166" fontId="0" fillId="0" borderId="4" xfId="0" applyNumberFormat="1" applyFill="1" applyBorder="1"/>
    <xf numFmtId="166" fontId="2" fillId="0" borderId="4" xfId="0" applyNumberFormat="1" applyFont="1" applyFill="1" applyBorder="1"/>
    <xf numFmtId="3" fontId="13" fillId="0" borderId="4" xfId="0" applyNumberFormat="1" applyFont="1" applyBorder="1"/>
    <xf numFmtId="0" fontId="11" fillId="0" borderId="4" xfId="0" applyFont="1" applyBorder="1"/>
    <xf numFmtId="166" fontId="11" fillId="0" borderId="4" xfId="0" applyNumberFormat="1" applyFont="1" applyBorder="1"/>
    <xf numFmtId="0" fontId="0" fillId="4" borderId="0" xfId="0" applyFill="1"/>
    <xf numFmtId="0" fontId="2" fillId="4" borderId="0" xfId="0" applyFont="1" applyFill="1"/>
    <xf numFmtId="0" fontId="0" fillId="0" borderId="4" xfId="0" applyFill="1" applyBorder="1"/>
    <xf numFmtId="3" fontId="2" fillId="0" borderId="1" xfId="0" applyNumberFormat="1" applyFont="1" applyFill="1" applyBorder="1"/>
    <xf numFmtId="3" fontId="0" fillId="0" borderId="0" xfId="0" applyNumberFormat="1" applyFill="1"/>
    <xf numFmtId="3" fontId="6" fillId="0" borderId="5" xfId="0" applyNumberFormat="1" applyFont="1" applyFill="1" applyBorder="1" applyAlignment="1">
      <alignment horizontal="right"/>
    </xf>
    <xf numFmtId="3" fontId="5" fillId="0" borderId="5" xfId="0" applyNumberFormat="1" applyFont="1" applyFill="1" applyBorder="1" applyAlignment="1">
      <alignment horizontal="right"/>
    </xf>
    <xf numFmtId="3" fontId="0" fillId="0" borderId="1" xfId="0" applyNumberFormat="1" applyFill="1" applyBorder="1" applyAlignment="1">
      <alignment vertical="center"/>
    </xf>
    <xf numFmtId="166" fontId="1" fillId="0" borderId="1" xfId="1" applyNumberFormat="1" applyFont="1" applyFill="1" applyBorder="1"/>
    <xf numFmtId="0" fontId="0" fillId="0" borderId="0" xfId="0" applyFill="1"/>
    <xf numFmtId="0" fontId="0" fillId="0" borderId="1" xfId="0" applyFill="1" applyBorder="1"/>
    <xf numFmtId="3" fontId="2" fillId="0" borderId="4" xfId="0" applyNumberFormat="1" applyFont="1" applyFill="1" applyBorder="1"/>
    <xf numFmtId="166" fontId="2" fillId="0" borderId="1" xfId="1" applyNumberFormat="1" applyFont="1" applyFill="1" applyBorder="1"/>
    <xf numFmtId="0" fontId="2" fillId="0" borderId="0" xfId="0" applyFont="1" applyFill="1"/>
    <xf numFmtId="3" fontId="8" fillId="0" borderId="0" xfId="0" applyNumberFormat="1" applyFont="1" applyFill="1"/>
    <xf numFmtId="0" fontId="0" fillId="0" borderId="0" xfId="0" applyFill="1" applyBorder="1"/>
    <xf numFmtId="166" fontId="0" fillId="0" borderId="4" xfId="0" applyNumberFormat="1" applyFont="1" applyBorder="1"/>
    <xf numFmtId="166" fontId="0" fillId="0" borderId="4" xfId="0" applyNumberFormat="1" applyBorder="1" applyAlignment="1">
      <alignment vertical="center"/>
    </xf>
    <xf numFmtId="166" fontId="1" fillId="0" borderId="4" xfId="1" applyNumberFormat="1" applyFont="1" applyBorder="1" applyAlignment="1">
      <alignment vertical="center"/>
    </xf>
    <xf numFmtId="3" fontId="0" fillId="0" borderId="4" xfId="0" applyNumberFormat="1" applyFont="1" applyBorder="1"/>
    <xf numFmtId="3" fontId="0" fillId="0" borderId="1" xfId="0" applyNumberFormat="1" applyFont="1" applyBorder="1"/>
    <xf numFmtId="0" fontId="2" fillId="0" borderId="0" xfId="0" applyFont="1" applyBorder="1" applyAlignment="1">
      <alignment vertical="center" wrapText="1"/>
    </xf>
    <xf numFmtId="10" fontId="0" fillId="0" borderId="0" xfId="0" applyNumberFormat="1" applyBorder="1"/>
    <xf numFmtId="3" fontId="2" fillId="0" borderId="0" xfId="0" applyNumberFormat="1" applyFont="1" applyBorder="1"/>
    <xf numFmtId="10" fontId="2" fillId="0" borderId="0" xfId="0" applyNumberFormat="1" applyFont="1" applyBorder="1"/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/>
    </xf>
    <xf numFmtId="10" fontId="2" fillId="0" borderId="0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3" fontId="0" fillId="0" borderId="0" xfId="0" applyNumberFormat="1" applyFill="1" applyBorder="1"/>
    <xf numFmtId="10" fontId="0" fillId="0" borderId="0" xfId="0" applyNumberFormat="1" applyFill="1" applyBorder="1"/>
    <xf numFmtId="0" fontId="2" fillId="0" borderId="0" xfId="0" applyFont="1" applyFill="1" applyBorder="1" applyAlignment="1">
      <alignment horizontal="left"/>
    </xf>
    <xf numFmtId="3" fontId="2" fillId="0" borderId="0" xfId="0" applyNumberFormat="1" applyFont="1" applyFill="1" applyBorder="1"/>
    <xf numFmtId="0" fontId="11" fillId="0" borderId="0" xfId="0" applyFont="1"/>
    <xf numFmtId="166" fontId="11" fillId="0" borderId="4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16" fillId="0" borderId="0" xfId="0" applyFont="1" applyBorder="1" applyAlignment="1">
      <alignment vertical="center"/>
    </xf>
    <xf numFmtId="0" fontId="15" fillId="0" borderId="0" xfId="0" applyFont="1" applyBorder="1"/>
    <xf numFmtId="0" fontId="17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3" fontId="10" fillId="0" borderId="0" xfId="9" applyNumberFormat="1"/>
    <xf numFmtId="3" fontId="18" fillId="5" borderId="1" xfId="0" applyNumberFormat="1" applyFont="1" applyFill="1" applyBorder="1" applyAlignment="1">
      <alignment horizontal="right" wrapText="1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4" xfId="0" applyNumberFormat="1" applyBorder="1" applyAlignment="1">
      <alignment horizontal="right"/>
    </xf>
    <xf numFmtId="3" fontId="0" fillId="0" borderId="4" xfId="0" applyNumberFormat="1" applyBorder="1" applyAlignment="1">
      <alignment horizontal="right" vertical="center"/>
    </xf>
    <xf numFmtId="0" fontId="19" fillId="0" borderId="0" xfId="0" applyFont="1"/>
    <xf numFmtId="167" fontId="0" fillId="0" borderId="1" xfId="0" applyNumberFormat="1" applyBorder="1"/>
    <xf numFmtId="3" fontId="11" fillId="5" borderId="2" xfId="0" applyNumberFormat="1" applyFont="1" applyFill="1" applyBorder="1" applyAlignment="1">
      <alignment horizontal="right" wrapText="1"/>
    </xf>
    <xf numFmtId="3" fontId="11" fillId="5" borderId="1" xfId="0" applyNumberFormat="1" applyFont="1" applyFill="1" applyBorder="1" applyAlignment="1">
      <alignment horizontal="right" wrapText="1"/>
    </xf>
    <xf numFmtId="3" fontId="0" fillId="0" borderId="9" xfId="0" applyNumberFormat="1" applyBorder="1"/>
    <xf numFmtId="3" fontId="11" fillId="0" borderId="0" xfId="0" applyNumberFormat="1" applyFont="1"/>
    <xf numFmtId="0" fontId="10" fillId="0" borderId="0" xfId="9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" fontId="0" fillId="0" borderId="0" xfId="0" applyNumberFormat="1"/>
    <xf numFmtId="2" fontId="0" fillId="0" borderId="0" xfId="0" applyNumberFormat="1"/>
    <xf numFmtId="0" fontId="21" fillId="0" borderId="0" xfId="0" quotePrefix="1" applyFont="1"/>
    <xf numFmtId="3" fontId="0" fillId="0" borderId="0" xfId="0" quotePrefix="1" applyNumberFormat="1"/>
    <xf numFmtId="3" fontId="18" fillId="0" borderId="1" xfId="0" applyNumberFormat="1" applyFont="1" applyBorder="1" applyAlignment="1">
      <alignment horizontal="right" wrapText="1"/>
    </xf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0" fillId="0" borderId="0" xfId="0" applyAlignment="1">
      <alignment wrapText="1"/>
    </xf>
    <xf numFmtId="3" fontId="2" fillId="0" borderId="4" xfId="0" applyNumberFormat="1" applyFont="1" applyBorder="1"/>
    <xf numFmtId="10" fontId="0" fillId="0" borderId="1" xfId="0" applyNumberFormat="1" applyBorder="1"/>
    <xf numFmtId="169" fontId="0" fillId="0" borderId="1" xfId="14" applyNumberFormat="1" applyFont="1" applyBorder="1"/>
    <xf numFmtId="10" fontId="0" fillId="0" borderId="1" xfId="0" applyNumberFormat="1" applyBorder="1" applyAlignment="1">
      <alignment vertical="center"/>
    </xf>
    <xf numFmtId="169" fontId="0" fillId="0" borderId="1" xfId="14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/>
    </xf>
    <xf numFmtId="10" fontId="2" fillId="0" borderId="1" xfId="0" applyNumberFormat="1" applyFont="1" applyBorder="1"/>
    <xf numFmtId="0" fontId="0" fillId="0" borderId="0" xfId="0" applyNumberFormat="1"/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/>
    <xf numFmtId="3" fontId="0" fillId="0" borderId="4" xfId="0" applyNumberFormat="1" applyFill="1" applyBorder="1" applyAlignment="1">
      <alignment vertical="center"/>
    </xf>
    <xf numFmtId="1" fontId="0" fillId="0" borderId="0" xfId="0" applyNumberFormat="1"/>
    <xf numFmtId="0" fontId="2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1" xfId="1" applyFont="1" applyBorder="1"/>
    <xf numFmtId="3" fontId="12" fillId="0" borderId="1" xfId="0" applyNumberFormat="1" applyFont="1" applyBorder="1"/>
    <xf numFmtId="3" fontId="22" fillId="0" borderId="1" xfId="0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166" fontId="0" fillId="0" borderId="1" xfId="0" applyNumberFormat="1" applyBorder="1"/>
    <xf numFmtId="166" fontId="2" fillId="0" borderId="1" xfId="0" applyNumberFormat="1" applyFont="1" applyBorder="1"/>
    <xf numFmtId="166" fontId="12" fillId="0" borderId="1" xfId="0" applyNumberFormat="1" applyFont="1" applyBorder="1"/>
    <xf numFmtId="166" fontId="22" fillId="0" borderId="1" xfId="0" applyNumberFormat="1" applyFont="1" applyBorder="1"/>
    <xf numFmtId="166" fontId="0" fillId="0" borderId="1" xfId="0" applyNumberFormat="1" applyFont="1" applyBorder="1"/>
    <xf numFmtId="166" fontId="0" fillId="0" borderId="1" xfId="0" applyNumberFormat="1" applyFont="1" applyFill="1" applyBorder="1"/>
    <xf numFmtId="169" fontId="0" fillId="0" borderId="0" xfId="0" applyNumberFormat="1"/>
    <xf numFmtId="3" fontId="11" fillId="0" borderId="1" xfId="0" applyNumberFormat="1" applyFont="1" applyBorder="1"/>
    <xf numFmtId="3" fontId="0" fillId="0" borderId="1" xfId="15" applyNumberFormat="1" applyFont="1" applyBorder="1"/>
    <xf numFmtId="0" fontId="23" fillId="0" borderId="0" xfId="16"/>
    <xf numFmtId="49" fontId="23" fillId="0" borderId="0" xfId="16" applyNumberFormat="1" applyAlignment="1">
      <alignment horizontal="right"/>
    </xf>
    <xf numFmtId="49" fontId="23" fillId="0" borderId="0" xfId="16" applyNumberFormat="1"/>
    <xf numFmtId="3" fontId="23" fillId="0" borderId="0" xfId="16" applyNumberFormat="1" applyAlignment="1">
      <alignment horizontal="right"/>
    </xf>
    <xf numFmtId="170" fontId="23" fillId="0" borderId="0" xfId="16" applyNumberFormat="1" applyAlignment="1">
      <alignment horizontal="right"/>
    </xf>
    <xf numFmtId="0" fontId="24" fillId="0" borderId="0" xfId="0" applyFont="1" applyAlignment="1">
      <alignment vertical="center"/>
    </xf>
    <xf numFmtId="3" fontId="0" fillId="6" borderId="1" xfId="0" applyNumberFormat="1" applyFill="1" applyBorder="1"/>
    <xf numFmtId="3" fontId="6" fillId="2" borderId="14" xfId="0" applyNumberFormat="1" applyFont="1" applyFill="1" applyBorder="1" applyAlignment="1">
      <alignment horizontal="right"/>
    </xf>
    <xf numFmtId="3" fontId="0" fillId="0" borderId="15" xfId="0" applyNumberFormat="1" applyBorder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0" fillId="0" borderId="11" xfId="0" applyNumberFormat="1" applyBorder="1"/>
    <xf numFmtId="3" fontId="0" fillId="0" borderId="11" xfId="0" applyNumberFormat="1" applyBorder="1" applyAlignment="1">
      <alignment vertical="center"/>
    </xf>
    <xf numFmtId="3" fontId="2" fillId="0" borderId="11" xfId="0" applyNumberFormat="1" applyFont="1" applyBorder="1"/>
    <xf numFmtId="3" fontId="0" fillId="0" borderId="11" xfId="0" applyNumberFormat="1" applyFont="1" applyBorder="1"/>
    <xf numFmtId="3" fontId="0" fillId="0" borderId="11" xfId="0" applyNumberFormat="1" applyFill="1" applyBorder="1"/>
    <xf numFmtId="165" fontId="5" fillId="3" borderId="17" xfId="6" applyNumberFormat="1" applyFill="1" applyBorder="1" applyAlignment="1">
      <alignment horizontal="right"/>
    </xf>
    <xf numFmtId="3" fontId="0" fillId="0" borderId="18" xfId="0" applyNumberFormat="1" applyBorder="1"/>
    <xf numFmtId="3" fontId="2" fillId="0" borderId="18" xfId="0" applyNumberFormat="1" applyFont="1" applyBorder="1"/>
    <xf numFmtId="166" fontId="0" fillId="0" borderId="0" xfId="0" applyNumberFormat="1" applyBorder="1"/>
    <xf numFmtId="10" fontId="0" fillId="0" borderId="4" xfId="0" applyNumberFormat="1" applyBorder="1" applyAlignment="1">
      <alignment vertical="center"/>
    </xf>
    <xf numFmtId="166" fontId="0" fillId="0" borderId="0" xfId="0" applyNumberFormat="1" applyFill="1" applyBorder="1"/>
    <xf numFmtId="166" fontId="0" fillId="0" borderId="0" xfId="0" applyNumberFormat="1" applyFont="1" applyBorder="1"/>
    <xf numFmtId="0" fontId="2" fillId="0" borderId="4" xfId="0" applyFont="1" applyFill="1" applyBorder="1" applyAlignment="1">
      <alignment horizontal="center"/>
    </xf>
    <xf numFmtId="166" fontId="0" fillId="0" borderId="16" xfId="0" applyNumberFormat="1" applyBorder="1"/>
    <xf numFmtId="166" fontId="2" fillId="0" borderId="16" xfId="0" applyNumberFormat="1" applyFont="1" applyBorder="1"/>
    <xf numFmtId="166" fontId="0" fillId="0" borderId="16" xfId="0" applyNumberFormat="1" applyFill="1" applyBorder="1"/>
    <xf numFmtId="166" fontId="0" fillId="0" borderId="16" xfId="0" applyNumberFormat="1" applyFont="1" applyBorder="1"/>
    <xf numFmtId="166" fontId="0" fillId="0" borderId="16" xfId="0" applyNumberFormat="1" applyBorder="1" applyAlignment="1">
      <alignment vertical="center"/>
    </xf>
    <xf numFmtId="3" fontId="6" fillId="2" borderId="17" xfId="0" applyNumberFormat="1" applyFont="1" applyFill="1" applyBorder="1" applyAlignment="1">
      <alignment horizontal="right"/>
    </xf>
    <xf numFmtId="3" fontId="6" fillId="0" borderId="17" xfId="0" applyNumberFormat="1" applyFont="1" applyFill="1" applyBorder="1" applyAlignment="1">
      <alignment horizontal="right"/>
    </xf>
    <xf numFmtId="166" fontId="0" fillId="0" borderId="20" xfId="0" applyNumberFormat="1" applyFont="1" applyBorder="1"/>
    <xf numFmtId="166" fontId="0" fillId="0" borderId="20" xfId="0" applyNumberFormat="1" applyBorder="1"/>
    <xf numFmtId="166" fontId="2" fillId="0" borderId="20" xfId="0" applyNumberFormat="1" applyFont="1" applyBorder="1"/>
    <xf numFmtId="166" fontId="0" fillId="0" borderId="20" xfId="0" applyNumberFormat="1" applyFill="1" applyBorder="1"/>
    <xf numFmtId="166" fontId="0" fillId="0" borderId="20" xfId="0" applyNumberFormat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3" fontId="6" fillId="2" borderId="21" xfId="0" applyNumberFormat="1" applyFont="1" applyFill="1" applyBorder="1" applyAlignment="1">
      <alignment horizontal="right"/>
    </xf>
    <xf numFmtId="3" fontId="6" fillId="2" borderId="22" xfId="0" applyNumberFormat="1" applyFont="1" applyFill="1" applyBorder="1" applyAlignment="1">
      <alignment horizontal="right"/>
    </xf>
    <xf numFmtId="3" fontId="0" fillId="0" borderId="20" xfId="0" applyNumberFormat="1" applyBorder="1"/>
    <xf numFmtId="3" fontId="2" fillId="0" borderId="20" xfId="0" applyNumberFormat="1" applyFont="1" applyBorder="1"/>
    <xf numFmtId="3" fontId="0" fillId="0" borderId="16" xfId="0" applyNumberFormat="1" applyBorder="1"/>
    <xf numFmtId="3" fontId="0" fillId="0" borderId="16" xfId="0" applyNumberFormat="1" applyBorder="1" applyAlignment="1">
      <alignment vertical="center"/>
    </xf>
    <xf numFmtId="3" fontId="6" fillId="0" borderId="21" xfId="0" applyNumberFormat="1" applyFont="1" applyFill="1" applyBorder="1" applyAlignment="1">
      <alignment horizontal="right"/>
    </xf>
    <xf numFmtId="3" fontId="6" fillId="0" borderId="22" xfId="0" applyNumberFormat="1" applyFont="1" applyFill="1" applyBorder="1" applyAlignment="1">
      <alignment horizontal="right"/>
    </xf>
    <xf numFmtId="3" fontId="0" fillId="0" borderId="16" xfId="0" applyNumberFormat="1" applyFont="1" applyBorder="1"/>
    <xf numFmtId="3" fontId="0" fillId="0" borderId="16" xfId="0" applyNumberFormat="1" applyFill="1" applyBorder="1"/>
    <xf numFmtId="166" fontId="0" fillId="0" borderId="18" xfId="0" applyNumberFormat="1" applyBorder="1"/>
    <xf numFmtId="166" fontId="2" fillId="0" borderId="18" xfId="0" applyNumberFormat="1" applyFont="1" applyBorder="1"/>
    <xf numFmtId="166" fontId="0" fillId="0" borderId="18" xfId="0" applyNumberFormat="1" applyFill="1" applyBorder="1"/>
    <xf numFmtId="166" fontId="0" fillId="0" borderId="18" xfId="0" applyNumberFormat="1" applyFont="1" applyBorder="1"/>
    <xf numFmtId="166" fontId="0" fillId="0" borderId="18" xfId="0" applyNumberFormat="1" applyBorder="1" applyAlignment="1">
      <alignment vertical="center"/>
    </xf>
    <xf numFmtId="3" fontId="2" fillId="0" borderId="2" xfId="0" applyNumberFormat="1" applyFont="1" applyBorder="1"/>
    <xf numFmtId="3" fontId="2" fillId="0" borderId="2" xfId="0" applyNumberFormat="1" applyFont="1" applyFill="1" applyBorder="1"/>
    <xf numFmtId="3" fontId="6" fillId="2" borderId="4" xfId="0" applyNumberFormat="1" applyFont="1" applyFill="1" applyBorder="1" applyAlignment="1">
      <alignment horizontal="right"/>
    </xf>
    <xf numFmtId="3" fontId="6" fillId="0" borderId="4" xfId="0" applyNumberFormat="1" applyFont="1" applyFill="1" applyBorder="1" applyAlignment="1">
      <alignment horizontal="right"/>
    </xf>
    <xf numFmtId="3" fontId="12" fillId="0" borderId="4" xfId="0" applyNumberFormat="1" applyFont="1" applyBorder="1"/>
    <xf numFmtId="166" fontId="12" fillId="0" borderId="4" xfId="0" applyNumberFormat="1" applyFont="1" applyBorder="1"/>
    <xf numFmtId="166" fontId="22" fillId="0" borderId="4" xfId="0" applyNumberFormat="1" applyFont="1" applyBorder="1"/>
    <xf numFmtId="166" fontId="0" fillId="0" borderId="2" xfId="0" applyNumberFormat="1" applyBorder="1"/>
    <xf numFmtId="166" fontId="11" fillId="0" borderId="0" xfId="0" applyNumberFormat="1" applyFont="1" applyBorder="1"/>
    <xf numFmtId="0" fontId="0" fillId="0" borderId="18" xfId="0" applyBorder="1"/>
    <xf numFmtId="0" fontId="0" fillId="0" borderId="18" xfId="0" applyFill="1" applyBorder="1"/>
    <xf numFmtId="3" fontId="0" fillId="0" borderId="18" xfId="0" applyNumberFormat="1" applyBorder="1" applyAlignment="1">
      <alignment horizontal="right"/>
    </xf>
    <xf numFmtId="3" fontId="0" fillId="0" borderId="18" xfId="0" applyNumberFormat="1" applyFont="1" applyBorder="1"/>
    <xf numFmtId="3" fontId="13" fillId="0" borderId="2" xfId="0" applyNumberFormat="1" applyFont="1" applyBorder="1"/>
    <xf numFmtId="3" fontId="22" fillId="0" borderId="2" xfId="0" applyNumberFormat="1" applyFont="1" applyBorder="1"/>
    <xf numFmtId="169" fontId="0" fillId="0" borderId="4" xfId="14" applyNumberFormat="1" applyFont="1" applyBorder="1"/>
    <xf numFmtId="169" fontId="0" fillId="0" borderId="4" xfId="14" applyNumberFormat="1" applyFont="1" applyBorder="1" applyAlignment="1">
      <alignment vertical="center"/>
    </xf>
    <xf numFmtId="3" fontId="22" fillId="0" borderId="4" xfId="0" applyNumberFormat="1" applyFont="1" applyBorder="1"/>
    <xf numFmtId="3" fontId="0" fillId="0" borderId="18" xfId="0" applyNumberFormat="1" applyFill="1" applyBorder="1"/>
    <xf numFmtId="3" fontId="0" fillId="0" borderId="4" xfId="0" applyNumberFormat="1" applyFont="1" applyFill="1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2" fillId="0" borderId="20" xfId="0" applyFont="1" applyBorder="1" applyAlignment="1">
      <alignment horizontal="left"/>
    </xf>
    <xf numFmtId="0" fontId="0" fillId="0" borderId="20" xfId="0" applyBorder="1" applyAlignment="1">
      <alignment horizontal="left" vertical="center" wrapText="1"/>
    </xf>
    <xf numFmtId="0" fontId="0" fillId="0" borderId="20" xfId="0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0" fontId="2" fillId="0" borderId="18" xfId="0" applyFont="1" applyBorder="1" applyAlignment="1">
      <alignment horizontal="center"/>
    </xf>
    <xf numFmtId="3" fontId="5" fillId="2" borderId="17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center"/>
    </xf>
    <xf numFmtId="3" fontId="5" fillId="0" borderId="17" xfId="0" applyNumberFormat="1" applyFont="1" applyFill="1" applyBorder="1" applyAlignment="1">
      <alignment horizontal="right"/>
    </xf>
    <xf numFmtId="165" fontId="5" fillId="0" borderId="17" xfId="6" applyNumberFormat="1" applyFill="1" applyBorder="1" applyAlignment="1">
      <alignment horizontal="right"/>
    </xf>
    <xf numFmtId="3" fontId="2" fillId="0" borderId="11" xfId="0" applyNumberFormat="1" applyFont="1" applyFill="1" applyBorder="1"/>
    <xf numFmtId="3" fontId="0" fillId="0" borderId="18" xfId="0" applyNumberFormat="1" applyBorder="1" applyAlignment="1">
      <alignment vertical="center"/>
    </xf>
    <xf numFmtId="0" fontId="2" fillId="0" borderId="11" xfId="0" applyFont="1" applyFill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65" fontId="0" fillId="0" borderId="4" xfId="15" applyNumberFormat="1" applyFont="1" applyBorder="1" applyAlignment="1">
      <alignment horizontal="left"/>
    </xf>
    <xf numFmtId="0" fontId="0" fillId="0" borderId="0" xfId="0" applyBorder="1" applyAlignment="1"/>
    <xf numFmtId="165" fontId="0" fillId="0" borderId="4" xfId="15" applyNumberFormat="1" applyFont="1" applyBorder="1" applyAlignment="1">
      <alignment horizontal="left" vertical="center"/>
    </xf>
    <xf numFmtId="165" fontId="0" fillId="0" borderId="4" xfId="15" applyNumberFormat="1" applyFont="1" applyBorder="1" applyAlignment="1">
      <alignment vertical="center"/>
    </xf>
    <xf numFmtId="0" fontId="0" fillId="0" borderId="0" xfId="0" applyBorder="1" applyAlignment="1">
      <alignment wrapText="1"/>
    </xf>
    <xf numFmtId="3" fontId="6" fillId="0" borderId="24" xfId="0" applyNumberFormat="1" applyFont="1" applyBorder="1" applyAlignment="1">
      <alignment horizontal="right"/>
    </xf>
    <xf numFmtId="3" fontId="5" fillId="0" borderId="24" xfId="0" applyNumberFormat="1" applyFont="1" applyBorder="1" applyAlignment="1">
      <alignment horizontal="right"/>
    </xf>
    <xf numFmtId="165" fontId="5" fillId="0" borderId="24" xfId="6" applyNumberFormat="1" applyFill="1" applyBorder="1" applyAlignment="1">
      <alignment horizontal="right"/>
    </xf>
    <xf numFmtId="3" fontId="5" fillId="2" borderId="24" xfId="0" applyNumberFormat="1" applyFont="1" applyFill="1" applyBorder="1" applyAlignment="1">
      <alignment horizontal="right"/>
    </xf>
    <xf numFmtId="165" fontId="5" fillId="3" borderId="24" xfId="6" applyNumberFormat="1" applyFill="1" applyBorder="1" applyAlignment="1">
      <alignment horizontal="right"/>
    </xf>
    <xf numFmtId="165" fontId="0" fillId="0" borderId="1" xfId="15" applyNumberFormat="1" applyFont="1" applyBorder="1"/>
    <xf numFmtId="165" fontId="0" fillId="0" borderId="0" xfId="15" applyNumberFormat="1" applyFont="1"/>
    <xf numFmtId="3" fontId="2" fillId="0" borderId="4" xfId="0" applyNumberFormat="1" applyFont="1" applyBorder="1" applyAlignment="1">
      <alignment horizontal="right"/>
    </xf>
    <xf numFmtId="165" fontId="0" fillId="0" borderId="4" xfId="15" applyNumberFormat="1" applyFont="1" applyBorder="1" applyAlignment="1">
      <alignment horizontal="right"/>
    </xf>
    <xf numFmtId="3" fontId="6" fillId="2" borderId="24" xfId="0" applyNumberFormat="1" applyFont="1" applyFill="1" applyBorder="1" applyAlignment="1">
      <alignment horizontal="right"/>
    </xf>
    <xf numFmtId="165" fontId="5" fillId="2" borderId="5" xfId="15" applyNumberFormat="1" applyFont="1" applyFill="1" applyBorder="1" applyAlignment="1">
      <alignment horizontal="right"/>
    </xf>
    <xf numFmtId="165" fontId="5" fillId="2" borderId="17" xfId="15" applyNumberFormat="1" applyFont="1" applyFill="1" applyBorder="1" applyAlignment="1">
      <alignment horizontal="right"/>
    </xf>
    <xf numFmtId="165" fontId="0" fillId="0" borderId="4" xfId="15" applyNumberFormat="1" applyFont="1" applyBorder="1"/>
    <xf numFmtId="1" fontId="0" fillId="0" borderId="4" xfId="0" applyNumberFormat="1" applyBorder="1"/>
    <xf numFmtId="0" fontId="2" fillId="0" borderId="20" xfId="0" applyFont="1" applyBorder="1" applyAlignment="1">
      <alignment horizontal="center" vertical="center" wrapText="1"/>
    </xf>
    <xf numFmtId="0" fontId="0" fillId="0" borderId="4" xfId="0" applyNumberFormat="1" applyBorder="1"/>
    <xf numFmtId="1" fontId="6" fillId="2" borderId="17" xfId="0" applyNumberFormat="1" applyFont="1" applyFill="1" applyBorder="1" applyAlignment="1">
      <alignment horizontal="right"/>
    </xf>
    <xf numFmtId="165" fontId="6" fillId="2" borderId="17" xfId="15" applyNumberFormat="1" applyFont="1" applyFill="1" applyBorder="1" applyAlignment="1">
      <alignment horizontal="right"/>
    </xf>
    <xf numFmtId="165" fontId="6" fillId="2" borderId="5" xfId="15" applyNumberFormat="1" applyFont="1" applyFill="1" applyBorder="1" applyAlignment="1">
      <alignment horizontal="right"/>
    </xf>
    <xf numFmtId="165" fontId="6" fillId="2" borderId="3" xfId="15" applyNumberFormat="1" applyFont="1" applyFill="1" applyBorder="1" applyAlignment="1">
      <alignment horizontal="right"/>
    </xf>
    <xf numFmtId="1" fontId="6" fillId="2" borderId="3" xfId="0" applyNumberFormat="1" applyFont="1" applyFill="1" applyBorder="1" applyAlignment="1">
      <alignment horizontal="right"/>
    </xf>
    <xf numFmtId="165" fontId="2" fillId="0" borderId="4" xfId="15" applyNumberFormat="1" applyFont="1" applyBorder="1"/>
    <xf numFmtId="3" fontId="5" fillId="0" borderId="25" xfId="0" applyNumberFormat="1" applyFont="1" applyFill="1" applyBorder="1" applyAlignment="1">
      <alignment horizontal="right"/>
    </xf>
    <xf numFmtId="1" fontId="0" fillId="0" borderId="4" xfId="0" applyNumberFormat="1" applyFill="1" applyBorder="1"/>
    <xf numFmtId="3" fontId="26" fillId="0" borderId="4" xfId="0" applyNumberFormat="1" applyFont="1" applyFill="1" applyBorder="1" applyAlignment="1">
      <alignment horizontal="right"/>
    </xf>
    <xf numFmtId="166" fontId="2" fillId="0" borderId="16" xfId="0" applyNumberFormat="1" applyFont="1" applyFill="1" applyBorder="1"/>
    <xf numFmtId="3" fontId="6" fillId="0" borderId="5" xfId="0" applyNumberFormat="1" applyFont="1" applyBorder="1" applyAlignment="1">
      <alignment horizontal="right"/>
    </xf>
    <xf numFmtId="9" fontId="0" fillId="0" borderId="0" xfId="0" applyNumberFormat="1" applyBorder="1"/>
    <xf numFmtId="9" fontId="0" fillId="0" borderId="0" xfId="0" applyNumberFormat="1"/>
    <xf numFmtId="2" fontId="0" fillId="0" borderId="0" xfId="15" applyNumberFormat="1" applyFont="1"/>
    <xf numFmtId="165" fontId="0" fillId="0" borderId="0" xfId="15" applyNumberFormat="1" applyFont="1" applyBorder="1"/>
    <xf numFmtId="166" fontId="2" fillId="0" borderId="18" xfId="0" applyNumberFormat="1" applyFont="1" applyFill="1" applyBorder="1"/>
    <xf numFmtId="165" fontId="2" fillId="0" borderId="2" xfId="15" applyNumberFormat="1" applyFont="1" applyBorder="1" applyAlignment="1">
      <alignment vertical="center"/>
    </xf>
    <xf numFmtId="3" fontId="6" fillId="0" borderId="17" xfId="0" applyNumberFormat="1" applyFont="1" applyBorder="1" applyAlignment="1">
      <alignment horizontal="right"/>
    </xf>
    <xf numFmtId="166" fontId="2" fillId="0" borderId="20" xfId="0" applyNumberFormat="1" applyFont="1" applyFill="1" applyBorder="1"/>
    <xf numFmtId="165" fontId="2" fillId="0" borderId="1" xfId="15" applyNumberFormat="1" applyFont="1" applyBorder="1"/>
    <xf numFmtId="0" fontId="10" fillId="0" borderId="0" xfId="9" applyBorder="1"/>
    <xf numFmtId="0" fontId="27" fillId="0" borderId="0" xfId="0" applyFont="1" applyAlignment="1">
      <alignment vertical="center"/>
    </xf>
    <xf numFmtId="165" fontId="0" fillId="0" borderId="0" xfId="0" applyNumberFormat="1"/>
    <xf numFmtId="0" fontId="28" fillId="0" borderId="0" xfId="0" applyFont="1" applyAlignment="1">
      <alignment vertical="center"/>
    </xf>
    <xf numFmtId="0" fontId="15" fillId="0" borderId="0" xfId="0" applyFont="1"/>
    <xf numFmtId="0" fontId="28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165" fontId="30" fillId="0" borderId="4" xfId="15" applyNumberFormat="1" applyFont="1" applyBorder="1" applyAlignment="1">
      <alignment horizontal="right" vertical="center"/>
    </xf>
    <xf numFmtId="166" fontId="30" fillId="0" borderId="4" xfId="0" applyNumberFormat="1" applyFont="1" applyBorder="1"/>
    <xf numFmtId="0" fontId="0" fillId="0" borderId="0" xfId="17" applyNumberFormat="1" applyFont="1" applyFill="1" applyBorder="1"/>
    <xf numFmtId="0" fontId="31" fillId="0" borderId="0" xfId="0" applyFont="1" applyAlignment="1">
      <alignment vertical="center"/>
    </xf>
    <xf numFmtId="0" fontId="0" fillId="0" borderId="0" xfId="0"/>
    <xf numFmtId="0" fontId="2" fillId="4" borderId="4" xfId="0" applyFont="1" applyFill="1" applyBorder="1" applyAlignment="1">
      <alignment horizontal="center"/>
    </xf>
    <xf numFmtId="3" fontId="6" fillId="7" borderId="4" xfId="0" applyNumberFormat="1" applyFont="1" applyFill="1" applyBorder="1" applyAlignment="1">
      <alignment horizontal="right"/>
    </xf>
    <xf numFmtId="169" fontId="5" fillId="4" borderId="4" xfId="14" applyNumberFormat="1" applyFont="1" applyFill="1" applyBorder="1" applyAlignment="1" applyProtection="1">
      <alignment horizontal="right" readingOrder="1"/>
      <protection locked="0"/>
    </xf>
    <xf numFmtId="169" fontId="11" fillId="4" borderId="4" xfId="14" applyNumberFormat="1" applyFont="1" applyFill="1" applyBorder="1" applyAlignment="1"/>
    <xf numFmtId="3" fontId="2" fillId="4" borderId="2" xfId="0" applyNumberFormat="1" applyFont="1" applyFill="1" applyBorder="1"/>
    <xf numFmtId="9" fontId="32" fillId="0" borderId="4" xfId="17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vertical="center"/>
    </xf>
    <xf numFmtId="0" fontId="34" fillId="0" borderId="0" xfId="0" applyFont="1"/>
    <xf numFmtId="165" fontId="2" fillId="0" borderId="4" xfId="15" applyNumberFormat="1" applyFont="1" applyFill="1" applyBorder="1"/>
    <xf numFmtId="165" fontId="2" fillId="0" borderId="4" xfId="15" applyNumberFormat="1" applyFont="1" applyBorder="1" applyAlignment="1">
      <alignment vertical="center"/>
    </xf>
    <xf numFmtId="165" fontId="2" fillId="0" borderId="4" xfId="15" applyNumberFormat="1" applyFont="1" applyBorder="1" applyAlignment="1">
      <alignment horizontal="right" vertical="center"/>
    </xf>
    <xf numFmtId="0" fontId="12" fillId="0" borderId="4" xfId="0" applyFont="1" applyBorder="1"/>
    <xf numFmtId="165" fontId="2" fillId="0" borderId="18" xfId="15" applyNumberFormat="1" applyFont="1" applyBorder="1"/>
    <xf numFmtId="3" fontId="0" fillId="0" borderId="20" xfId="0" applyNumberFormat="1" applyFill="1" applyBorder="1"/>
    <xf numFmtId="9" fontId="0" fillId="0" borderId="4" xfId="17" applyFont="1" applyBorder="1"/>
    <xf numFmtId="9" fontId="2" fillId="0" borderId="4" xfId="17" applyFont="1" applyBorder="1"/>
    <xf numFmtId="3" fontId="6" fillId="0" borderId="4" xfId="18" applyNumberFormat="1" applyBorder="1"/>
    <xf numFmtId="3" fontId="26" fillId="0" borderId="4" xfId="18" applyNumberFormat="1" applyFont="1" applyBorder="1"/>
    <xf numFmtId="10" fontId="0" fillId="0" borderId="0" xfId="0" applyNumberFormat="1"/>
    <xf numFmtId="3" fontId="0" fillId="4" borderId="4" xfId="0" applyNumberFormat="1" applyFill="1" applyBorder="1"/>
    <xf numFmtId="3" fontId="2" fillId="6" borderId="4" xfId="0" applyNumberFormat="1" applyFont="1" applyFill="1" applyBorder="1"/>
    <xf numFmtId="3" fontId="2" fillId="4" borderId="4" xfId="0" applyNumberFormat="1" applyFont="1" applyFill="1" applyBorder="1"/>
    <xf numFmtId="17" fontId="28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165" fontId="37" fillId="0" borderId="4" xfId="15" applyNumberFormat="1" applyFont="1" applyBorder="1" applyAlignment="1">
      <alignment horizontal="right" vertical="center"/>
    </xf>
    <xf numFmtId="3" fontId="6" fillId="2" borderId="24" xfId="0" applyNumberFormat="1" applyFont="1" applyFill="1" applyBorder="1" applyAlignment="1">
      <alignment horizontal="center" vertical="center"/>
    </xf>
    <xf numFmtId="165" fontId="5" fillId="3" borderId="24" xfId="6" applyNumberForma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166" fontId="0" fillId="0" borderId="4" xfId="0" quotePrefix="1" applyNumberFormat="1" applyBorder="1" applyAlignment="1">
      <alignment horizontal="center" vertical="center"/>
    </xf>
    <xf numFmtId="3" fontId="14" fillId="0" borderId="4" xfId="0" applyNumberFormat="1" applyFont="1" applyBorder="1"/>
    <xf numFmtId="3" fontId="26" fillId="2" borderId="4" xfId="0" applyNumberFormat="1" applyFont="1" applyFill="1" applyBorder="1" applyAlignment="1">
      <alignment horizontal="right"/>
    </xf>
    <xf numFmtId="166" fontId="2" fillId="0" borderId="4" xfId="0" applyNumberFormat="1" applyFont="1" applyBorder="1" applyAlignment="1">
      <alignment vertical="center"/>
    </xf>
    <xf numFmtId="166" fontId="13" fillId="0" borderId="4" xfId="0" applyNumberFormat="1" applyFont="1" applyBorder="1"/>
    <xf numFmtId="3" fontId="2" fillId="0" borderId="1" xfId="0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38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9" fillId="0" borderId="0" xfId="7" applyFont="1" applyFill="1" applyAlignment="1">
      <alignment horizontal="left" vertical="center"/>
    </xf>
    <xf numFmtId="3" fontId="2" fillId="0" borderId="30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166" fontId="1" fillId="0" borderId="30" xfId="1" applyNumberFormat="1" applyFont="1" applyBorder="1" applyAlignment="1">
      <alignment horizontal="right" vertical="center"/>
    </xf>
    <xf numFmtId="166" fontId="1" fillId="0" borderId="13" xfId="1" applyNumberFormat="1" applyFont="1" applyBorder="1" applyAlignment="1">
      <alignment horizontal="right" vertical="center"/>
    </xf>
    <xf numFmtId="166" fontId="1" fillId="0" borderId="2" xfId="1" applyNumberFormat="1" applyFont="1" applyBorder="1" applyAlignment="1">
      <alignment horizontal="right" vertical="center"/>
    </xf>
    <xf numFmtId="3" fontId="0" fillId="0" borderId="30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0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6" fontId="0" fillId="0" borderId="30" xfId="0" applyNumberFormat="1" applyFont="1" applyBorder="1" applyAlignment="1">
      <alignment horizontal="center"/>
    </xf>
    <xf numFmtId="166" fontId="0" fillId="0" borderId="13" xfId="0" applyNumberFormat="1" applyFont="1" applyBorder="1" applyAlignment="1">
      <alignment horizontal="center"/>
    </xf>
    <xf numFmtId="166" fontId="0" fillId="0" borderId="2" xfId="0" applyNumberFormat="1" applyFont="1" applyBorder="1" applyAlignment="1">
      <alignment horizontal="center"/>
    </xf>
    <xf numFmtId="167" fontId="0" fillId="0" borderId="30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3" fontId="14" fillId="0" borderId="30" xfId="0" applyNumberFormat="1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3" fontId="0" fillId="0" borderId="30" xfId="0" applyNumberFormat="1" applyFont="1" applyBorder="1" applyAlignment="1">
      <alignment horizontal="center"/>
    </xf>
    <xf numFmtId="3" fontId="0" fillId="0" borderId="13" xfId="0" applyNumberFormat="1" applyFont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3" fontId="0" fillId="0" borderId="30" xfId="0" applyNumberFormat="1" applyFont="1" applyBorder="1" applyAlignment="1">
      <alignment horizontal="right" vertical="center"/>
    </xf>
    <xf numFmtId="3" fontId="0" fillId="0" borderId="13" xfId="0" applyNumberFormat="1" applyFont="1" applyBorder="1" applyAlignment="1">
      <alignment horizontal="right" vertical="center"/>
    </xf>
    <xf numFmtId="3" fontId="0" fillId="0" borderId="2" xfId="0" applyNumberFormat="1" applyFont="1" applyBorder="1" applyAlignment="1">
      <alignment horizontal="right" vertical="center"/>
    </xf>
    <xf numFmtId="166" fontId="0" fillId="0" borderId="30" xfId="0" applyNumberFormat="1" applyFont="1" applyBorder="1" applyAlignment="1">
      <alignment horizontal="right" vertical="center"/>
    </xf>
    <xf numFmtId="166" fontId="0" fillId="0" borderId="13" xfId="0" applyNumberFormat="1" applyFont="1" applyBorder="1" applyAlignment="1">
      <alignment horizontal="right" vertical="center"/>
    </xf>
    <xf numFmtId="166" fontId="0" fillId="0" borderId="2" xfId="0" applyNumberFormat="1" applyFont="1" applyBorder="1" applyAlignment="1">
      <alignment horizontal="right" vertical="center"/>
    </xf>
    <xf numFmtId="3" fontId="14" fillId="0" borderId="30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2" xfId="0" applyNumberFormat="1" applyFont="1" applyBorder="1" applyAlignment="1">
      <alignment horizontal="right"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3" fontId="14" fillId="0" borderId="4" xfId="0" applyNumberFormat="1" applyFont="1" applyBorder="1" applyAlignment="1">
      <alignment horizontal="right" vertical="center"/>
    </xf>
    <xf numFmtId="3" fontId="0" fillId="0" borderId="4" xfId="0" applyNumberFormat="1" applyFont="1" applyBorder="1" applyAlignment="1">
      <alignment horizontal="right" vertical="center"/>
    </xf>
    <xf numFmtId="166" fontId="0" fillId="0" borderId="4" xfId="0" applyNumberFormat="1" applyFont="1" applyBorder="1" applyAlignment="1">
      <alignment horizontal="center" vertical="center"/>
    </xf>
    <xf numFmtId="3" fontId="14" fillId="0" borderId="12" xfId="0" applyNumberFormat="1" applyFont="1" applyBorder="1" applyAlignment="1">
      <alignment horizontal="right" vertical="center"/>
    </xf>
    <xf numFmtId="3" fontId="14" fillId="0" borderId="28" xfId="0" applyNumberFormat="1" applyFont="1" applyBorder="1" applyAlignment="1">
      <alignment horizontal="right" vertical="center"/>
    </xf>
    <xf numFmtId="3" fontId="14" fillId="0" borderId="29" xfId="0" applyNumberFormat="1" applyFont="1" applyBorder="1" applyAlignment="1">
      <alignment horizontal="right" vertical="center"/>
    </xf>
    <xf numFmtId="3" fontId="0" fillId="0" borderId="30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9" fillId="0" borderId="0" xfId="0" applyFont="1" applyAlignment="1">
      <alignment vertical="center"/>
    </xf>
  </cellXfs>
  <cellStyles count="20">
    <cellStyle name="Comma 2" xfId="11" xr:uid="{040698A3-9AD8-4508-AFB4-67D3AD68AB19}"/>
    <cellStyle name="Comma 2 2" xfId="5" xr:uid="{776616B3-D5B1-4B12-B95D-DAE6A8772199}"/>
    <cellStyle name="Lien hypertexte" xfId="9" builtinId="8"/>
    <cellStyle name="Migliaia 4" xfId="6" xr:uid="{64DB64A2-954F-4F62-B197-90695B44D6EC}"/>
    <cellStyle name="Migliaia 4 2" xfId="10" xr:uid="{04E3159C-3AF7-4011-93CE-9285E686B156}"/>
    <cellStyle name="Migliaia 4 3" xfId="12" xr:uid="{33D74C89-B800-444D-AD05-6C230EC32D2A}"/>
    <cellStyle name="Migliaia 4 4" xfId="13" xr:uid="{D256000E-E9B2-4CCD-BD7B-3BD290C9EF66}"/>
    <cellStyle name="Milliers" xfId="15" builtinId="3"/>
    <cellStyle name="Milliers [0] 2" xfId="8" xr:uid="{87FB6210-BFC6-4661-9310-A18CEDD43881}"/>
    <cellStyle name="Milliers 2" xfId="14" xr:uid="{79E81021-3B45-4FAC-9CF5-D1C360351259}"/>
    <cellStyle name="Normal" xfId="0" builtinId="0"/>
    <cellStyle name="Normal 2" xfId="1" xr:uid="{B17477F0-0B72-49AE-8D7E-C5BBA811FD88}"/>
    <cellStyle name="Normal 2 2" xfId="4" xr:uid="{F4C13E9B-94A0-4F2B-8ACD-A1F9CBE39761}"/>
    <cellStyle name="Normal 3" xfId="7" xr:uid="{CDF677EA-D0A4-4E7A-9799-FE5EA1342466}"/>
    <cellStyle name="Normal 4" xfId="16" xr:uid="{21A7E863-19C5-4660-BA0C-6F33E1C4017F}"/>
    <cellStyle name="Normal 5" xfId="18" xr:uid="{13629946-022C-4509-8533-D8AC0C1FE90B}"/>
    <cellStyle name="Normal 6" xfId="19" xr:uid="{EC3ACA8C-EA28-48A3-BC2E-22F366D5FDFF}"/>
    <cellStyle name="Pourcentage" xfId="17" builtinId="5"/>
    <cellStyle name="Pourcentage 2" xfId="2" xr:uid="{23971D7F-1940-41AE-B592-2B2C5CB99FB2}"/>
    <cellStyle name="Standard_Tabelle1" xfId="3" xr:uid="{57E0E1E8-3FB6-4ABD-85CA-E380DDBE1527}"/>
  </cellStyles>
  <dxfs count="0"/>
  <tableStyles count="0" defaultTableStyle="TableStyleMedium2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Sales/registrations of new vehicles in countries represented in OICA </a:t>
            </a:r>
            <a:endParaRPr lang="fr-F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9A-4BD8-9E33-56F064A5A4D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9A-4BD8-9E33-56F064A5A4DE}"/>
              </c:ext>
            </c:extLst>
          </c:dPt>
          <c:dLbls>
            <c:dLbl>
              <c:idx val="0"/>
              <c:layout>
                <c:manualLayout>
                  <c:x val="-5.0925337632079971E-17"/>
                  <c:y val="9.1899970836978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9A-4BD8-9E33-56F064A5A4DE}"/>
                </c:ext>
              </c:extLst>
            </c:dLbl>
            <c:dLbl>
              <c:idx val="1"/>
              <c:layout>
                <c:manualLayout>
                  <c:x val="-5.5555555555556572E-3"/>
                  <c:y val="9.18999708369787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9A-4BD8-9E33-56F064A5A4DE}"/>
                </c:ext>
              </c:extLst>
            </c:dLbl>
            <c:dLbl>
              <c:idx val="2"/>
              <c:layout>
                <c:manualLayout>
                  <c:x val="0"/>
                  <c:y val="1.38196267133274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9A-4BD8-9E33-56F064A5A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registrations'!$B$1:$D$2</c:f>
              <c:multiLvlStrCache>
                <c:ptCount val="3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</c:lvl>
                <c:lvl>
                  <c:pt idx="0">
                    <c:v>Cumulative January - June</c:v>
                  </c:pt>
                </c:lvl>
              </c:multiLvlStrCache>
            </c:multiLvlStrRef>
          </c:cat>
          <c:val>
            <c:numRef>
              <c:f>'Sales registrations'!$B$3:$D$3</c:f>
              <c:numCache>
                <c:formatCode>#,##0</c:formatCode>
                <c:ptCount val="3"/>
                <c:pt idx="0">
                  <c:v>38991568</c:v>
                </c:pt>
                <c:pt idx="1">
                  <c:v>27779942</c:v>
                </c:pt>
                <c:pt idx="2">
                  <c:v>35603479.094963014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A-4BD8-9E33-56F064A5A4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6094584"/>
        <c:axId val="806094912"/>
      </c:barChart>
      <c:catAx>
        <c:axId val="80609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6094912"/>
        <c:crosses val="autoZero"/>
        <c:auto val="1"/>
        <c:lblAlgn val="ctr"/>
        <c:lblOffset val="100"/>
        <c:noMultiLvlLbl val="0"/>
      </c:catAx>
      <c:valAx>
        <c:axId val="8060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6094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7</xdr:row>
      <xdr:rowOff>71437</xdr:rowOff>
    </xdr:from>
    <xdr:to>
      <xdr:col>5</xdr:col>
      <xdr:colOff>333375</xdr:colOff>
      <xdr:row>21</xdr:row>
      <xdr:rowOff>147637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828294-DA63-4EAD-BF50-55CC80209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nziendolo\Documents\JN%20Stats\Global%20Monthly%20Sales%20Data%20Public%202021-02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Registrations"/>
      <sheetName val="Argentina"/>
      <sheetName val="Australia"/>
      <sheetName val="Austria"/>
      <sheetName val="Belgium"/>
      <sheetName val="Brazil"/>
      <sheetName val="Bulgaria"/>
      <sheetName val="China"/>
      <sheetName val="Croatia"/>
      <sheetName val="Finland"/>
      <sheetName val="France"/>
      <sheetName val="Germany"/>
      <sheetName val="India "/>
      <sheetName val="Indonesia"/>
      <sheetName val="Israel"/>
      <sheetName val="Italy"/>
      <sheetName val="Japan "/>
      <sheetName val="Kazakhstan"/>
      <sheetName val="Korea"/>
      <sheetName val="Netherlands"/>
      <sheetName val="Norway"/>
      <sheetName val="Portugal"/>
      <sheetName val="Romania"/>
      <sheetName val="Russia"/>
      <sheetName val="South Africa"/>
      <sheetName val="Spain"/>
      <sheetName val="Sweden"/>
      <sheetName val="Switzerland"/>
      <sheetName val="Thailand"/>
      <sheetName val="Turkey"/>
      <sheetName val="UK"/>
      <sheetName val="Ukraine"/>
      <sheetName val="U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2025382</v>
          </cell>
          <cell r="D6">
            <v>1612525</v>
          </cell>
        </row>
        <row r="7">
          <cell r="B7" t="str">
            <v>LCV *</v>
          </cell>
          <cell r="C7">
            <v>150223</v>
          </cell>
          <cell r="D7">
            <v>118655</v>
          </cell>
        </row>
        <row r="8">
          <cell r="B8" t="str">
            <v>HCV</v>
          </cell>
          <cell r="C8">
            <v>184697</v>
          </cell>
          <cell r="D8">
            <v>194675</v>
          </cell>
        </row>
        <row r="9">
          <cell r="B9" t="str">
            <v>Buses and coaches</v>
          </cell>
          <cell r="C9">
            <v>11304</v>
          </cell>
          <cell r="D9">
            <v>7020</v>
          </cell>
        </row>
      </sheetData>
      <sheetData sheetId="8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3565</v>
          </cell>
          <cell r="D6">
            <v>3709</v>
          </cell>
        </row>
        <row r="7">
          <cell r="B7" t="str">
            <v>LCV</v>
          </cell>
          <cell r="C7">
            <v>847</v>
          </cell>
          <cell r="D7">
            <v>644</v>
          </cell>
        </row>
        <row r="8">
          <cell r="B8" t="str">
            <v>HCV</v>
          </cell>
          <cell r="C8">
            <v>149</v>
          </cell>
          <cell r="D8">
            <v>101</v>
          </cell>
        </row>
        <row r="9">
          <cell r="B9" t="str">
            <v>Buses and coaches</v>
          </cell>
          <cell r="C9">
            <v>17</v>
          </cell>
          <cell r="D9">
            <v>12</v>
          </cell>
        </row>
      </sheetData>
      <sheetData sheetId="9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11738</v>
          </cell>
          <cell r="D6">
            <v>10798</v>
          </cell>
        </row>
        <row r="7">
          <cell r="B7" t="str">
            <v>LCV</v>
          </cell>
          <cell r="C7">
            <v>1493</v>
          </cell>
          <cell r="D7">
            <v>1274</v>
          </cell>
        </row>
        <row r="8">
          <cell r="B8" t="str">
            <v>HCV</v>
          </cell>
          <cell r="C8">
            <v>359</v>
          </cell>
          <cell r="D8">
            <v>365</v>
          </cell>
        </row>
        <row r="9">
          <cell r="B9" t="str">
            <v>Buses and coaches</v>
          </cell>
          <cell r="C9">
            <v>47</v>
          </cell>
          <cell r="D9">
            <v>34</v>
          </cell>
        </row>
      </sheetData>
      <sheetData sheetId="10"/>
      <sheetData sheetId="11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265702</v>
          </cell>
          <cell r="D6">
            <v>246300</v>
          </cell>
        </row>
        <row r="7">
          <cell r="B7" t="str">
            <v>LCV</v>
          </cell>
          <cell r="C7">
            <v>22194</v>
          </cell>
          <cell r="D7">
            <v>21539</v>
          </cell>
        </row>
        <row r="8">
          <cell r="B8" t="str">
            <v>HCV</v>
          </cell>
          <cell r="C8">
            <v>8478</v>
          </cell>
          <cell r="D8">
            <v>6742</v>
          </cell>
        </row>
        <row r="9">
          <cell r="B9" t="str">
            <v>Buses and coaches</v>
          </cell>
          <cell r="C9">
            <v>627</v>
          </cell>
          <cell r="D9">
            <v>630</v>
          </cell>
        </row>
      </sheetData>
      <sheetData sheetId="12"/>
      <sheetData sheetId="13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57089</v>
          </cell>
          <cell r="D6">
            <v>61217</v>
          </cell>
        </row>
        <row r="7">
          <cell r="B7" t="str">
            <v>Commercial vehicles (LCV, HCV, Buses)</v>
          </cell>
          <cell r="C7">
            <v>25066</v>
          </cell>
          <cell r="D7">
            <v>19218</v>
          </cell>
        </row>
      </sheetData>
      <sheetData sheetId="14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36512</v>
          </cell>
          <cell r="D6">
            <v>39849</v>
          </cell>
        </row>
        <row r="7">
          <cell r="B7" t="str">
            <v>LCV</v>
          </cell>
          <cell r="C7">
            <v>1963</v>
          </cell>
          <cell r="D7">
            <v>1863</v>
          </cell>
        </row>
        <row r="8">
          <cell r="B8" t="str">
            <v>HCV</v>
          </cell>
          <cell r="C8">
            <v>1315</v>
          </cell>
          <cell r="D8">
            <v>1362</v>
          </cell>
        </row>
        <row r="9">
          <cell r="B9" t="str">
            <v>Buses and coaches</v>
          </cell>
          <cell r="C9">
            <v>332</v>
          </cell>
          <cell r="D9">
            <v>368</v>
          </cell>
        </row>
      </sheetData>
      <sheetData sheetId="15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165271</v>
          </cell>
          <cell r="D6">
            <v>155867</v>
          </cell>
        </row>
        <row r="7">
          <cell r="B7" t="str">
            <v>LCV</v>
          </cell>
          <cell r="C7">
            <v>13529</v>
          </cell>
          <cell r="D7">
            <v>13209</v>
          </cell>
        </row>
        <row r="8">
          <cell r="B8" t="str">
            <v>HCV</v>
          </cell>
          <cell r="C8">
            <v>2301</v>
          </cell>
          <cell r="D8">
            <v>2082</v>
          </cell>
        </row>
        <row r="9">
          <cell r="B9" t="str">
            <v>Buses and coaches</v>
          </cell>
          <cell r="C9">
            <v>394</v>
          </cell>
          <cell r="D9">
            <v>451</v>
          </cell>
        </row>
      </sheetData>
      <sheetData sheetId="16">
        <row r="4">
          <cell r="B4"/>
          <cell r="C4" t="str">
            <v>January</v>
          </cell>
          <cell r="D4"/>
        </row>
        <row r="5">
          <cell r="B5"/>
          <cell r="C5">
            <v>2019</v>
          </cell>
          <cell r="D5">
            <v>2020</v>
          </cell>
        </row>
        <row r="6">
          <cell r="B6" t="str">
            <v>Passenger cars</v>
          </cell>
          <cell r="C6">
            <v>342477</v>
          </cell>
          <cell r="D6">
            <v>301195</v>
          </cell>
        </row>
        <row r="7">
          <cell r="B7" t="str">
            <v>LCV</v>
          </cell>
          <cell r="C7">
            <v>52826</v>
          </cell>
          <cell r="D7">
            <v>47333</v>
          </cell>
        </row>
        <row r="8">
          <cell r="B8" t="str">
            <v>HCV</v>
          </cell>
          <cell r="C8">
            <v>11819</v>
          </cell>
          <cell r="D8">
            <v>10813</v>
          </cell>
        </row>
        <row r="9">
          <cell r="B9" t="str">
            <v>Buses and coaches</v>
          </cell>
          <cell r="C9">
            <v>853</v>
          </cell>
          <cell r="D9">
            <v>762</v>
          </cell>
        </row>
        <row r="10">
          <cell r="B10" t="str">
            <v>Total</v>
          </cell>
          <cell r="C10">
            <v>407975</v>
          </cell>
          <cell r="D10">
            <v>360103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fcai.com.au/news/index/view/news/659" TargetMode="External"/><Relationship Id="rId1" Type="http://schemas.openxmlformats.org/officeDocument/2006/relationships/hyperlink" Target="http://www.fcai.com.au/news/index/index/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ahrzeugindustrie.at/zahlen-fakten/statistikjahrbuc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febiac.be/public/list_pressreleases.aspx?lang=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aut.fi/en/statistics/new_registrations/monthly/2021" TargetMode="External"/><Relationship Id="rId1" Type="http://schemas.openxmlformats.org/officeDocument/2006/relationships/hyperlink" Target="http://www.aut.fi/en/statistics/new_registrations/monthly/202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ccfa.fr/immatriculations-commandes/" TargetMode="External"/><Relationship Id="rId1" Type="http://schemas.openxmlformats.org/officeDocument/2006/relationships/hyperlink" Target="https://ccfa.fr/communiques-de-presse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vda.de/en/services/facts-and-figures/monthly-figures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gaikindo.or.id/en/indonesian-automobile-industry-data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jamaserv.jama.or.jp/newdb/eng/index.htm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kazautoprom.kz/press-releases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kama.or.kr/BoardController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https://www.raivereniging.nl/artikel/marktinformatie/actuele-verkoopcijfers/maandelijkse-verkoopcijfers.html" TargetMode="External"/><Relationship Id="rId1" Type="http://schemas.openxmlformats.org/officeDocument/2006/relationships/hyperlink" Target="https://www.raivereniging.nl/artikel/marktinformatie/statistieken/europese-auto-statistieken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bilimportorene.no/category/nyheter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acap.pt/pt/estatisticas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oar-info.ru/index.php?id=484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naamsa.co.za/NewVehicleStatistics.aspx" TargetMode="External"/><Relationship Id="rId1" Type="http://schemas.openxmlformats.org/officeDocument/2006/relationships/hyperlink" Target="https://www.naamsa.co.za/index.aspx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s://anfac.com/cifras-clave/matriculaciones-turismos-y-todoterreno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hyperlink" Target="http://www.bilsweden.se/statistik/nyregistreringar" TargetMode="External"/><Relationship Id="rId1" Type="http://schemas.openxmlformats.org/officeDocument/2006/relationships/hyperlink" Target="http://www.bilsweden.se/statistik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s://www.auto.swiss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s://www.taia.or.th/Statistics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osd.org.tr/osd-publications-/automotive-industry-monthly-report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s://www.smmt.co.uk/category/news/registrations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s://ukrautoprom.com.ua/en/category/statistics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FA67-0568-4B0A-9ADD-FE3080554CC6}">
  <dimension ref="A1:F8"/>
  <sheetViews>
    <sheetView tabSelected="1" workbookViewId="0">
      <selection activeCell="C5" sqref="C5"/>
    </sheetView>
  </sheetViews>
  <sheetFormatPr baseColWidth="10" defaultRowHeight="15"/>
  <cols>
    <col min="2" max="2" width="14.5703125" customWidth="1"/>
    <col min="3" max="3" width="13.5703125" customWidth="1"/>
    <col min="4" max="4" width="13.85546875" customWidth="1"/>
    <col min="5" max="5" width="18.28515625" customWidth="1"/>
  </cols>
  <sheetData>
    <row r="1" spans="1:6" s="316" customFormat="1" ht="15.75">
      <c r="A1" s="325"/>
      <c r="B1" s="364" t="s">
        <v>158</v>
      </c>
      <c r="C1" s="364"/>
      <c r="D1" s="364"/>
      <c r="E1" s="326"/>
    </row>
    <row r="2" spans="1:6" ht="30">
      <c r="A2" s="325"/>
      <c r="B2" s="323">
        <v>2019</v>
      </c>
      <c r="C2" s="323">
        <v>2020</v>
      </c>
      <c r="D2" s="323">
        <v>2021</v>
      </c>
      <c r="E2" s="324" t="s">
        <v>145</v>
      </c>
      <c r="F2" s="45"/>
    </row>
    <row r="3" spans="1:6" ht="15.75">
      <c r="A3" s="327" t="s">
        <v>7</v>
      </c>
      <c r="B3" s="328">
        <f>SUM(Australia!BK10,Austria!BK10,Belgium!BK10,Brazil!BK10,Bulgaria!BK10,China!BK10,Croatia!BK10,Finland!BK10,France!BK10,Germany!BK11,'India '!BK10,Indonesia!BK8,Israel!BK10,Italy!BK10,'Japan '!BK10,Kazakhstan!BK8,Korea!BK10,Norway!BK10,Portugal!BK10,Romania!BK10,Russia!BK10,'South Africa'!BK10,Spain!BK10,Sweden!BK10,Switzerland!BK10,Thailand!BK8,Turkey!BK10,UK!BK10,Ukraine!BK9,USA!BJ9)</f>
        <v>38991568</v>
      </c>
      <c r="C3" s="328">
        <f>SUM(Australia!BL10,Austria!BL10,Belgium!BL10,Brazil!BL10,Bulgaria!BL10,China!BL10,Croatia!BL10,Finland!BL10,France!BL10,Germany!BL11,'India '!BL10,Indonesia!BL8,Israel!BL10,Italy!BL10,'Japan '!BL10,Kazakhstan!BL8,Korea!BL10,Norway!BL10,Portugal!BL10,Romania!BL10,Russia!BL10,'South Africa'!BL10,Spain!BL10,Sweden!BL10,Switzerland!BL10,Thailand!BL8,Turkey!BL10,UK!BL10,Ukraine!BL9,USA!BK9)</f>
        <v>27779942</v>
      </c>
      <c r="D3" s="328">
        <f>SUM(Australia!BM10,Austria!BM10,Belgium!BM10,Brazil!BM10,Bulgaria!BM10,China!BM10,Croatia!BM10,Finland!BM10,France!BM10,Germany!BM11,'India '!BM10,Indonesia!BM8,Israel!BM10,Italy!BM10,'Japan '!BM10,Kazakhstan!BM8,Korea!BM10,Norway!BM10,Portugal!BM10,Romania!BM10,Russia!BM10,'South Africa'!BM10,Spain!BM10,Sweden!BM10,Switzerland!BM10,Thailand!BM8,Turkey!BM10,UK!BM10,Ukraine!BM9,USA!BL9)</f>
        <v>35603479.094963014</v>
      </c>
      <c r="E3" s="322">
        <f>(D3-C3)/C3</f>
        <v>0.28162539342101628</v>
      </c>
      <c r="F3" s="45"/>
    </row>
    <row r="4" spans="1:6" s="316" customFormat="1"/>
    <row r="5" spans="1:6" s="316" customFormat="1"/>
    <row r="6" spans="1:6" s="316" customFormat="1"/>
    <row r="7" spans="1:6" s="316" customFormat="1"/>
    <row r="8" spans="1:6" s="316" customFormat="1"/>
  </sheetData>
  <mergeCells count="1">
    <mergeCell ref="B1:D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8EE9-9A65-47EE-8341-5932CEB97216}">
  <dimension ref="A1:BQ22"/>
  <sheetViews>
    <sheetView topLeftCell="B1" zoomScaleNormal="100" workbookViewId="0">
      <pane xSplit="1" topLeftCell="F1" activePane="topRight" state="frozen"/>
      <selection activeCell="G14" sqref="G14"/>
      <selection pane="topRight" activeCell="S9" sqref="S9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42578125" style="21" customWidth="1"/>
    <col min="5" max="5" width="10.85546875" style="21" customWidth="1"/>
    <col min="6" max="6" width="11.5703125" style="21" customWidth="1"/>
    <col min="7" max="7" width="9.42578125" style="51" customWidth="1"/>
    <col min="8" max="8" width="8.5703125" style="21" customWidth="1"/>
    <col min="9" max="9" width="8.28515625" style="21" customWidth="1"/>
    <col min="10" max="10" width="10.85546875" style="21" customWidth="1"/>
    <col min="11" max="11" width="9.28515625" style="51" customWidth="1"/>
    <col min="12" max="13" width="7.5703125" style="21" bestFit="1" customWidth="1"/>
    <col min="14" max="14" width="8.5703125" style="51" customWidth="1"/>
    <col min="15" max="15" width="7.5703125" style="51" customWidth="1"/>
    <col min="16" max="16" width="9.42578125" style="51" customWidth="1"/>
    <col min="17" max="17" width="10.140625" style="21" customWidth="1"/>
    <col min="18" max="18" width="10.85546875" style="51" customWidth="1"/>
    <col min="19" max="19" width="10.5703125" style="21" customWidth="1"/>
    <col min="20" max="20" width="10.85546875" style="21" customWidth="1"/>
    <col min="21" max="21" width="9.85546875" style="21" customWidth="1"/>
    <col min="22" max="22" width="9.42578125" style="51" customWidth="1"/>
    <col min="23" max="23" width="10.28515625" style="21" customWidth="1"/>
    <col min="24" max="24" width="9.85546875" style="21" customWidth="1"/>
    <col min="25" max="25" width="9.85546875" style="21" bestFit="1" customWidth="1"/>
    <col min="26" max="26" width="9.140625" style="51" customWidth="1"/>
    <col min="27" max="27" width="9.28515625" style="21" customWidth="1"/>
    <col min="28" max="28" width="9.5703125" style="21" bestFit="1" customWidth="1"/>
    <col min="29" max="31" width="9.5703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18</v>
      </c>
      <c r="C1" s="57"/>
    </row>
    <row r="2" spans="2:69">
      <c r="AB2" s="23"/>
      <c r="AC2" s="142"/>
      <c r="AD2" s="142"/>
      <c r="AE2" s="142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1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182">
        <v>2019</v>
      </c>
      <c r="D5" s="253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282" t="s">
        <v>130</v>
      </c>
      <c r="K5" s="16">
        <v>2019</v>
      </c>
      <c r="L5" s="253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76">
        <v>28050</v>
      </c>
      <c r="D6" s="279">
        <v>20494</v>
      </c>
      <c r="E6" s="278">
        <v>18590</v>
      </c>
      <c r="F6" s="198">
        <f>(E6-D6)/D6</f>
        <v>-9.2905240558212157E-2</v>
      </c>
      <c r="G6" s="277">
        <v>27151</v>
      </c>
      <c r="H6" s="7">
        <v>22648</v>
      </c>
      <c r="I6" s="7">
        <v>19194</v>
      </c>
      <c r="J6" s="206">
        <f>(I6-H6)/H6</f>
        <v>-0.15250794772165313</v>
      </c>
      <c r="K6" s="280">
        <v>28999</v>
      </c>
      <c r="L6" s="7">
        <v>21783</v>
      </c>
      <c r="M6" s="212">
        <v>21360</v>
      </c>
      <c r="N6" s="229">
        <f>SUM(C6,G6,K6)</f>
        <v>84200</v>
      </c>
      <c r="O6" s="229">
        <f>SUM(D6,H6,L6)</f>
        <v>64925</v>
      </c>
      <c r="P6" s="229">
        <f>SUM(E6,I6,M6)</f>
        <v>59144</v>
      </c>
      <c r="Q6" s="49">
        <f>(M6-L6)/L6</f>
        <v>-1.9418812835697564E-2</v>
      </c>
      <c r="R6" s="53">
        <v>23816</v>
      </c>
      <c r="S6" s="53">
        <v>9157</v>
      </c>
      <c r="T6" s="2">
        <v>18064</v>
      </c>
      <c r="U6" s="49">
        <f>(T6-S6)/S6</f>
        <v>0.97269848203560116</v>
      </c>
      <c r="V6" s="53">
        <v>28890</v>
      </c>
      <c r="W6" s="53">
        <v>13836</v>
      </c>
      <c r="X6" s="2">
        <v>20218</v>
      </c>
      <c r="Y6" s="49">
        <f>(X6-W6)/W6</f>
        <v>0.4612604799074877</v>
      </c>
      <c r="Z6" s="53">
        <v>33864</v>
      </c>
      <c r="AA6" s="53">
        <v>25036</v>
      </c>
      <c r="AB6" s="31">
        <v>23361</v>
      </c>
      <c r="AC6" s="53">
        <f>SUM(R6,V6,Z6)</f>
        <v>86570</v>
      </c>
      <c r="AD6" s="53">
        <f>SUM(S6,W6,AA6)</f>
        <v>48029</v>
      </c>
      <c r="AE6" s="53">
        <f>SUM(T6,X6,AB6)</f>
        <v>61643</v>
      </c>
      <c r="AF6" s="49">
        <f>(AB6-AA6)/AA6</f>
        <v>-6.6903658731426743E-2</v>
      </c>
      <c r="AG6" s="49"/>
      <c r="AH6" s="2"/>
      <c r="AI6" s="2"/>
      <c r="AJ6" s="49"/>
      <c r="AK6" s="49"/>
      <c r="AL6" s="2"/>
      <c r="AM6" s="2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SUM(C6,G6,K6,R6,V6,Z6,AG6,AK6,AO6,AV6,AZ6,BD6)</f>
        <v>170770</v>
      </c>
      <c r="BL6" s="3">
        <f>SUM(D6,H6,L6,S6,W6,AA6,AH6,AL6,AP6,AW6,BA6,BE6)</f>
        <v>112954</v>
      </c>
      <c r="BM6" s="3">
        <f>SUM(E6,I6,M6,T6,X6,AB6,AI6,AM6,AQ6,AX6,BB6,BF6)</f>
        <v>120787</v>
      </c>
      <c r="BN6" s="13">
        <f>(BM6-BL6)/BL6</f>
        <v>6.9346813747189123E-2</v>
      </c>
    </row>
    <row r="7" spans="2:69">
      <c r="B7" s="248" t="s">
        <v>42</v>
      </c>
      <c r="C7" s="276">
        <v>35940</v>
      </c>
      <c r="D7" s="190">
        <v>35393</v>
      </c>
      <c r="E7" s="6">
        <v>41544</v>
      </c>
      <c r="F7" s="198">
        <f>(E7-D7)/D7</f>
        <v>0.17379142768344022</v>
      </c>
      <c r="G7" s="277">
        <v>37292</v>
      </c>
      <c r="H7" s="277">
        <v>39285</v>
      </c>
      <c r="I7" s="8">
        <v>42651</v>
      </c>
      <c r="J7" s="206">
        <f>(I7-H7)/H7</f>
        <v>8.5681557846506301E-2</v>
      </c>
      <c r="K7" s="280">
        <v>45660</v>
      </c>
      <c r="L7" s="7">
        <v>39162</v>
      </c>
      <c r="M7" s="213">
        <v>51705</v>
      </c>
      <c r="N7" s="229">
        <f t="shared" ref="N7:N9" si="0">SUM(C7,G7,K7)</f>
        <v>118892</v>
      </c>
      <c r="O7" s="229">
        <f t="shared" ref="O7:O9" si="1">SUM(D7,H7,L7)</f>
        <v>113840</v>
      </c>
      <c r="P7" s="229">
        <f t="shared" ref="P7:P9" si="2">SUM(E7,I7,M7)</f>
        <v>135900</v>
      </c>
      <c r="Q7" s="49">
        <f t="shared" ref="Q7:Q9" si="3">(M7-L7)/L7</f>
        <v>0.3202849701240999</v>
      </c>
      <c r="R7" s="53">
        <v>33190</v>
      </c>
      <c r="S7" s="53">
        <v>18023</v>
      </c>
      <c r="T7" s="142">
        <v>49176</v>
      </c>
      <c r="U7" s="49">
        <f t="shared" ref="U7:U10" si="4">(T7-S7)/S7</f>
        <v>1.7285135659990012</v>
      </c>
      <c r="V7" s="53">
        <v>40937</v>
      </c>
      <c r="W7" s="53">
        <v>28652</v>
      </c>
      <c r="X7" s="2">
        <v>53605</v>
      </c>
      <c r="Y7" s="49">
        <f t="shared" ref="Y7:Y10" si="5">(X7-W7)/W7</f>
        <v>0.8708990646377216</v>
      </c>
      <c r="Z7" s="53">
        <v>53509</v>
      </c>
      <c r="AA7" s="53">
        <v>51931</v>
      </c>
      <c r="AB7" s="31">
        <v>53761</v>
      </c>
      <c r="AC7" s="53">
        <f t="shared" ref="AC7:AC10" si="6">SUM(R7,V7,Z7)</f>
        <v>127636</v>
      </c>
      <c r="AD7" s="53">
        <f t="shared" ref="AD7:AD10" si="7">SUM(S7,W7,AA7)</f>
        <v>98606</v>
      </c>
      <c r="AE7" s="53">
        <f t="shared" ref="AE7:AE10" si="8">SUM(T7,X7,AB7)</f>
        <v>156542</v>
      </c>
      <c r="AF7" s="49">
        <f t="shared" ref="AF7:AF10" si="9">(AB7-AA7)/AA7</f>
        <v>3.5239067223816214E-2</v>
      </c>
      <c r="AG7" s="49"/>
      <c r="AH7" s="2"/>
      <c r="AI7" s="2"/>
      <c r="AJ7" s="49"/>
      <c r="AK7" s="49"/>
      <c r="AL7" s="2"/>
      <c r="AM7" s="2"/>
      <c r="AN7" s="49"/>
      <c r="AO7" s="49"/>
      <c r="AP7" s="2"/>
      <c r="AQ7" s="53"/>
      <c r="AR7" s="53"/>
      <c r="AS7" s="53"/>
      <c r="AT7" s="53"/>
      <c r="AU7" s="49"/>
      <c r="AV7" s="49"/>
      <c r="AW7" s="2"/>
      <c r="AX7" s="53"/>
      <c r="AY7" s="49"/>
      <c r="AZ7" s="49"/>
      <c r="BA7" s="2"/>
      <c r="BB7" s="53"/>
      <c r="BC7" s="49"/>
      <c r="BD7" s="49"/>
      <c r="BE7" s="4"/>
      <c r="BF7" s="53"/>
      <c r="BG7" s="53"/>
      <c r="BH7" s="53"/>
      <c r="BI7" s="53"/>
      <c r="BJ7" s="49"/>
      <c r="BK7" s="3">
        <f t="shared" ref="BK7:BK10" si="10">SUM(C7,G7,K7,R7,V7,Z7,AG7,AK7,AO7,AV7,AZ7,BD7)</f>
        <v>246528</v>
      </c>
      <c r="BL7" s="3">
        <f t="shared" ref="BL7:BL9" si="11">SUM(D7,H7,L7,S7,W7,AA7,AH7,AL7,AP7,AW7,BA7,BE7)</f>
        <v>212446</v>
      </c>
      <c r="BM7" s="3">
        <f t="shared" ref="BM7:BM9" si="12">SUM(E7,I7,M7,T7,X7,AB7,AI7,AM7,AQ7,AX7,BB7,BF7)</f>
        <v>292442</v>
      </c>
      <c r="BN7" s="13">
        <f>(BM7-BL7)/BL7</f>
        <v>0.37654745205840545</v>
      </c>
    </row>
    <row r="8" spans="2:69">
      <c r="B8" s="248" t="s">
        <v>44</v>
      </c>
      <c r="C8" s="276">
        <v>15809</v>
      </c>
      <c r="D8" s="190">
        <v>14035</v>
      </c>
      <c r="E8" s="6">
        <v>17485</v>
      </c>
      <c r="F8" s="198">
        <f>(E8-D8)/D8</f>
        <v>0.24581403633772711</v>
      </c>
      <c r="G8" s="277">
        <v>19831</v>
      </c>
      <c r="H8" s="277">
        <v>15542</v>
      </c>
      <c r="I8" s="8">
        <v>19326</v>
      </c>
      <c r="J8" s="206">
        <f>(I8-H8)/H8</f>
        <v>0.24346930896924462</v>
      </c>
      <c r="K8" s="280">
        <v>21488</v>
      </c>
      <c r="L8" s="7">
        <v>18165</v>
      </c>
      <c r="M8" s="213">
        <v>23255</v>
      </c>
      <c r="N8" s="229">
        <f t="shared" si="0"/>
        <v>57128</v>
      </c>
      <c r="O8" s="229">
        <f t="shared" si="1"/>
        <v>47742</v>
      </c>
      <c r="P8" s="229">
        <f t="shared" si="2"/>
        <v>60066</v>
      </c>
      <c r="Q8" s="49">
        <f t="shared" si="3"/>
        <v>0.28020919350399121</v>
      </c>
      <c r="R8" s="53">
        <v>15601</v>
      </c>
      <c r="S8" s="53">
        <v>9436</v>
      </c>
      <c r="T8" s="2">
        <v>21714</v>
      </c>
      <c r="U8" s="49">
        <f t="shared" si="4"/>
        <v>1.3011869436201779</v>
      </c>
      <c r="V8" s="53">
        <v>19178</v>
      </c>
      <c r="W8" s="53">
        <v>14791</v>
      </c>
      <c r="X8" s="2">
        <v>23177</v>
      </c>
      <c r="Y8" s="49">
        <f t="shared" si="5"/>
        <v>0.56696639848556551</v>
      </c>
      <c r="Z8" s="53">
        <v>26372</v>
      </c>
      <c r="AA8" s="53">
        <v>28645</v>
      </c>
      <c r="AB8" s="31">
        <v>28550</v>
      </c>
      <c r="AC8" s="53">
        <f t="shared" si="6"/>
        <v>61151</v>
      </c>
      <c r="AD8" s="53">
        <f t="shared" si="7"/>
        <v>52872</v>
      </c>
      <c r="AE8" s="53">
        <f t="shared" si="8"/>
        <v>73441</v>
      </c>
      <c r="AF8" s="49">
        <f t="shared" si="9"/>
        <v>-3.3164601152033514E-3</v>
      </c>
      <c r="AG8" s="49"/>
      <c r="AH8" s="2"/>
      <c r="AI8" s="2"/>
      <c r="AJ8" s="49"/>
      <c r="AK8" s="49"/>
      <c r="AL8" s="2"/>
      <c r="AM8" s="2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3">
        <f t="shared" si="10"/>
        <v>118279</v>
      </c>
      <c r="BL8" s="3">
        <f t="shared" si="11"/>
        <v>100614</v>
      </c>
      <c r="BM8" s="3">
        <f t="shared" si="12"/>
        <v>133507</v>
      </c>
      <c r="BN8" s="13">
        <f>(BM8-BL8)/BL8</f>
        <v>0.32692269465481943</v>
      </c>
    </row>
    <row r="9" spans="2:69">
      <c r="B9" s="248" t="s">
        <v>43</v>
      </c>
      <c r="C9" s="276">
        <v>2195</v>
      </c>
      <c r="D9" s="190">
        <v>1809</v>
      </c>
      <c r="E9" s="6">
        <v>2047</v>
      </c>
      <c r="F9" s="198">
        <f>(E9-D9)/D9</f>
        <v>0.13156440022111665</v>
      </c>
      <c r="G9" s="277">
        <v>2828</v>
      </c>
      <c r="H9" s="277">
        <v>2465</v>
      </c>
      <c r="I9" s="8">
        <v>2806</v>
      </c>
      <c r="J9" s="206">
        <f>(I9-H9)/H9</f>
        <v>0.13833671399594322</v>
      </c>
      <c r="K9" s="280">
        <v>3295</v>
      </c>
      <c r="L9" s="7">
        <v>2580</v>
      </c>
      <c r="M9" s="213">
        <v>3685</v>
      </c>
      <c r="N9" s="229">
        <f t="shared" si="0"/>
        <v>8318</v>
      </c>
      <c r="O9" s="229">
        <f t="shared" si="1"/>
        <v>6854</v>
      </c>
      <c r="P9" s="229">
        <f t="shared" si="2"/>
        <v>8538</v>
      </c>
      <c r="Q9" s="49">
        <f t="shared" si="3"/>
        <v>0.42829457364341084</v>
      </c>
      <c r="R9" s="53">
        <v>2943</v>
      </c>
      <c r="S9" s="53">
        <v>2310</v>
      </c>
      <c r="T9" s="2">
        <v>3393</v>
      </c>
      <c r="U9" s="49">
        <f t="shared" si="4"/>
        <v>0.46883116883116882</v>
      </c>
      <c r="V9" s="53">
        <v>3556</v>
      </c>
      <c r="W9" s="53">
        <v>2615</v>
      </c>
      <c r="X9" s="2">
        <v>3809</v>
      </c>
      <c r="Y9" s="49">
        <f t="shared" si="5"/>
        <v>0.45659655831739959</v>
      </c>
      <c r="Z9" s="53">
        <v>4072</v>
      </c>
      <c r="AA9" s="53">
        <v>4622</v>
      </c>
      <c r="AB9" s="31">
        <v>4992</v>
      </c>
      <c r="AC9" s="53">
        <f t="shared" si="6"/>
        <v>10571</v>
      </c>
      <c r="AD9" s="53">
        <f t="shared" si="7"/>
        <v>9547</v>
      </c>
      <c r="AE9" s="53">
        <f t="shared" si="8"/>
        <v>12194</v>
      </c>
      <c r="AF9" s="49">
        <f t="shared" si="9"/>
        <v>8.0051925573344868E-2</v>
      </c>
      <c r="AG9" s="49"/>
      <c r="AH9" s="2"/>
      <c r="AI9" s="2"/>
      <c r="AJ9" s="49"/>
      <c r="AK9" s="49"/>
      <c r="AL9" s="2"/>
      <c r="AM9" s="2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4"/>
      <c r="BF9" s="53"/>
      <c r="BG9" s="53"/>
      <c r="BH9" s="53"/>
      <c r="BI9" s="53"/>
      <c r="BJ9" s="49"/>
      <c r="BK9" s="3">
        <f t="shared" si="10"/>
        <v>18889</v>
      </c>
      <c r="BL9" s="3">
        <f t="shared" si="11"/>
        <v>16401</v>
      </c>
      <c r="BM9" s="3">
        <f t="shared" si="12"/>
        <v>20732</v>
      </c>
      <c r="BN9" s="13">
        <f>(BM9-BL9)/BL9</f>
        <v>0.26406926406926406</v>
      </c>
    </row>
    <row r="10" spans="2:69" s="9" customFormat="1">
      <c r="B10" s="249" t="s">
        <v>7</v>
      </c>
      <c r="C10" s="187">
        <f>SUM(C6:C9)</f>
        <v>81994</v>
      </c>
      <c r="D10" s="187">
        <f>SUM(D6:D9)</f>
        <v>71731</v>
      </c>
      <c r="E10" s="3">
        <f>SUM(E6:E9)</f>
        <v>79666</v>
      </c>
      <c r="F10" s="50">
        <f>(E10-D10)/D10</f>
        <v>0.11062162802693395</v>
      </c>
      <c r="G10" s="3">
        <f>SUM(G6:G9)</f>
        <v>87102</v>
      </c>
      <c r="H10" s="3">
        <f>SUM(H6:H9)</f>
        <v>79940</v>
      </c>
      <c r="I10" s="3">
        <f>SUM(I6:I9)</f>
        <v>83977</v>
      </c>
      <c r="J10" s="50">
        <f>(I10-H10)/H10</f>
        <v>5.0500375281461098E-2</v>
      </c>
      <c r="K10" s="187">
        <f>SUM(K6:K9)</f>
        <v>99442</v>
      </c>
      <c r="L10" s="187">
        <f>SUM(L6:L9)</f>
        <v>81690</v>
      </c>
      <c r="M10" s="3">
        <f>SUM(M6:M9)</f>
        <v>100005</v>
      </c>
      <c r="N10" s="227">
        <f>SUM(N6:N9)</f>
        <v>268538</v>
      </c>
      <c r="O10" s="227">
        <f t="shared" ref="O10:P10" si="13">SUM(O6:O9)</f>
        <v>233361</v>
      </c>
      <c r="P10" s="227">
        <f t="shared" si="13"/>
        <v>263648</v>
      </c>
      <c r="Q10" s="50">
        <f>(M10-L10)/L10</f>
        <v>0.22420124862284246</v>
      </c>
      <c r="R10" s="335">
        <f>SUM(R6:R9)</f>
        <v>75550</v>
      </c>
      <c r="S10" s="335">
        <f>SUM(S6:S9)</f>
        <v>38926</v>
      </c>
      <c r="T10" s="3">
        <f>SUM(T6:T9)</f>
        <v>92347</v>
      </c>
      <c r="U10" s="50">
        <f t="shared" si="4"/>
        <v>1.3723732209834043</v>
      </c>
      <c r="V10" s="3">
        <f>SUM(V6:V9)</f>
        <v>92561</v>
      </c>
      <c r="W10" s="3">
        <f>SUM(W6:W9)</f>
        <v>59894</v>
      </c>
      <c r="X10" s="3">
        <f>SUM(X6:X9)</f>
        <v>100809</v>
      </c>
      <c r="Y10" s="50">
        <f t="shared" si="5"/>
        <v>0.68312351821551409</v>
      </c>
      <c r="Z10" s="289">
        <f>SUM(Z6:Z9)</f>
        <v>117817</v>
      </c>
      <c r="AA10" s="289">
        <f>SUM(AA6:AA9)</f>
        <v>110234</v>
      </c>
      <c r="AB10" s="289">
        <f>SUM(AB6:AB9)</f>
        <v>110664</v>
      </c>
      <c r="AC10" s="145">
        <f t="shared" si="6"/>
        <v>285928</v>
      </c>
      <c r="AD10" s="145">
        <f t="shared" si="7"/>
        <v>209054</v>
      </c>
      <c r="AE10" s="145">
        <f t="shared" si="8"/>
        <v>303820</v>
      </c>
      <c r="AF10" s="50">
        <f t="shared" si="9"/>
        <v>3.9007928588275852E-3</v>
      </c>
      <c r="AG10" s="49"/>
      <c r="AH10" s="3"/>
      <c r="AI10" s="3"/>
      <c r="AJ10" s="49"/>
      <c r="AK10" s="49"/>
      <c r="AL10" s="3"/>
      <c r="AM10" s="3"/>
      <c r="AN10" s="49"/>
      <c r="AO10" s="49"/>
      <c r="AP10" s="227"/>
      <c r="AQ10" s="3"/>
      <c r="AR10" s="145"/>
      <c r="AS10" s="145"/>
      <c r="AT10" s="145"/>
      <c r="AU10" s="49"/>
      <c r="AV10" s="49"/>
      <c r="AW10" s="227"/>
      <c r="AX10" s="3"/>
      <c r="AY10" s="49"/>
      <c r="AZ10" s="49"/>
      <c r="BA10" s="227"/>
      <c r="BB10" s="3"/>
      <c r="BC10" s="49"/>
      <c r="BD10" s="49"/>
      <c r="BE10" s="3"/>
      <c r="BF10" s="3"/>
      <c r="BG10" s="145"/>
      <c r="BH10" s="145"/>
      <c r="BI10" s="145"/>
      <c r="BJ10" s="49"/>
      <c r="BK10" s="3">
        <f t="shared" si="10"/>
        <v>554466</v>
      </c>
      <c r="BL10" s="3">
        <f>SUM(D10,H10,L10,S10,W10,AA10,AH10,AL10,AP10,AW10,BA10,BE10)</f>
        <v>442415</v>
      </c>
      <c r="BM10" s="3">
        <f>SUM(E10,I10,M10,T10,X10,AB10,AI10,AM10,AQ10,AX10,BB10,BF10)</f>
        <v>567468</v>
      </c>
      <c r="BN10" s="14">
        <f>(BM10-BL10)/BL10</f>
        <v>0.2826599459783235</v>
      </c>
      <c r="BP10" s="21"/>
      <c r="BQ10" s="20"/>
    </row>
    <row r="12" spans="2:69">
      <c r="B12" s="21" t="s">
        <v>22</v>
      </c>
      <c r="D12" s="67" t="s">
        <v>80</v>
      </c>
      <c r="AL12" s="108"/>
      <c r="BL12" s="142"/>
    </row>
    <row r="13" spans="2:69" ht="20.25">
      <c r="D13" s="67" t="s">
        <v>124</v>
      </c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138"/>
      <c r="BB13" s="22"/>
      <c r="BC13" s="22"/>
      <c r="BD13" s="63"/>
      <c r="BM13" s="142"/>
    </row>
    <row r="14" spans="2:69" s="51" customFormat="1" ht="20.25">
      <c r="D14" s="67"/>
      <c r="L14" s="142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138"/>
      <c r="BB14" s="63"/>
      <c r="BC14" s="63"/>
      <c r="BD14" s="63"/>
      <c r="BK14" s="316"/>
    </row>
    <row r="15" spans="2:69" ht="20.25">
      <c r="D15"/>
      <c r="E15" s="22"/>
      <c r="F15" s="22"/>
      <c r="G15" s="63"/>
      <c r="H15" s="22"/>
      <c r="I15" s="22"/>
      <c r="L15" s="142"/>
      <c r="P15" s="142"/>
      <c r="AY15"/>
      <c r="BA15" s="138"/>
    </row>
    <row r="16" spans="2:69"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139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  <c r="AJ21" s="23"/>
      <c r="AK21" s="142"/>
      <c r="AL21" s="23"/>
      <c r="AM21" s="23"/>
      <c r="AN21" s="23"/>
      <c r="AO21" s="142"/>
      <c r="AP21" s="23"/>
      <c r="AQ21" s="23"/>
      <c r="AR21" s="142"/>
      <c r="AS21" s="142"/>
      <c r="AT21" s="142"/>
      <c r="AU21" s="23"/>
      <c r="AV21" s="142"/>
      <c r="AW21" s="23"/>
      <c r="AX21" s="23"/>
      <c r="AY21" s="23"/>
      <c r="AZ21" s="142"/>
      <c r="BA21" s="23"/>
      <c r="BB21" s="23"/>
      <c r="BC21" s="23"/>
      <c r="BD21" s="142"/>
    </row>
    <row r="22" spans="4:56">
      <c r="D22" s="23"/>
      <c r="E22" s="23"/>
      <c r="F22" s="23"/>
      <c r="G22" s="142"/>
      <c r="H22" s="23"/>
      <c r="I22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15FDF839-D4E6-45EB-B69B-1D40CB275671}"/>
    <hyperlink ref="D13" r:id="rId2" xr:uid="{291ADFF5-9287-497C-B8A7-7430F97F75D1}"/>
  </hyperlinks>
  <pageMargins left="0.7" right="0.7" top="0.78740157499999996" bottom="0.78740157499999996" header="0.3" footer="0.3"/>
  <pageSetup paperSize="9" orientation="portrait" r:id="rId3"/>
  <ignoredErrors>
    <ignoredError sqref="C10:E10 K10:M10 G10 S10:T10 W10:X10 R10 V10 Z10:AB10" formulaRange="1"/>
    <ignoredError sqref="F10 J10 Q10 U10 Y10" formula="1"/>
    <ignoredError sqref="H10:I10" formula="1" formulaRange="1"/>
    <ignoredError sqref="Q7:Q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E114-DA0F-4D21-83AA-77F6B27B3869}">
  <dimension ref="A1:BQ31"/>
  <sheetViews>
    <sheetView topLeftCell="B1" zoomScaleNormal="100" workbookViewId="0">
      <pane xSplit="1" topLeftCell="H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9" style="51" customWidth="1"/>
    <col min="8" max="8" width="9.140625" style="21" customWidth="1"/>
    <col min="9" max="10" width="10.140625" style="21" customWidth="1"/>
    <col min="11" max="11" width="8.71093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0" style="51" customWidth="1"/>
    <col min="19" max="19" width="9.5703125" style="21" customWidth="1"/>
    <col min="20" max="20" width="9.7109375" style="21" customWidth="1"/>
    <col min="21" max="21" width="10.140625" style="21" customWidth="1"/>
    <col min="22" max="22" width="9.140625" style="51" customWidth="1"/>
    <col min="23" max="23" width="9.42578125" style="21" customWidth="1"/>
    <col min="24" max="24" width="10.42578125" style="21" customWidth="1"/>
    <col min="25" max="25" width="10.140625" style="21" bestFit="1" customWidth="1"/>
    <col min="26" max="26" width="10.140625" style="51" customWidth="1"/>
    <col min="27" max="27" width="9.42578125" style="21" customWidth="1"/>
    <col min="28" max="28" width="9.8554687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53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25257</v>
      </c>
      <c r="D6" s="185">
        <v>22959</v>
      </c>
      <c r="E6" s="31">
        <v>14133</v>
      </c>
      <c r="F6" s="198">
        <f>(E6-D6)/D6</f>
        <v>-0.38442440872860317</v>
      </c>
      <c r="G6" s="53">
        <v>23640</v>
      </c>
      <c r="H6" s="53">
        <v>21067</v>
      </c>
      <c r="I6" s="31">
        <v>19863</v>
      </c>
      <c r="J6" s="198">
        <f>(I6-H6)/H6</f>
        <v>-5.7150994446290404E-2</v>
      </c>
      <c r="K6" s="53">
        <v>31958</v>
      </c>
      <c r="L6" s="53">
        <v>10654</v>
      </c>
      <c r="M6" s="214">
        <v>29526</v>
      </c>
      <c r="N6" s="53">
        <f>SUM(C6,G6,K6)</f>
        <v>80855</v>
      </c>
      <c r="O6" s="53">
        <f>SUM(D6,H6,L6)</f>
        <v>54680</v>
      </c>
      <c r="P6" s="53">
        <f>SUM(E6,I6,M6)</f>
        <v>63522</v>
      </c>
      <c r="Q6" s="226">
        <f>(M6-L6)/L6</f>
        <v>1.771353482260184</v>
      </c>
      <c r="R6" s="53">
        <v>31951</v>
      </c>
      <c r="S6" s="53">
        <v>11220</v>
      </c>
      <c r="T6" s="31">
        <v>22296</v>
      </c>
      <c r="U6" s="49">
        <f>(T6-S6)/S6</f>
        <v>0.98716577540106953</v>
      </c>
      <c r="V6" s="53">
        <v>30574</v>
      </c>
      <c r="W6" s="53">
        <v>20211</v>
      </c>
      <c r="X6" s="31">
        <v>22503</v>
      </c>
      <c r="Y6" s="49">
        <f>(X6-W6)/W6</f>
        <v>0.11340359210331008</v>
      </c>
      <c r="Z6" s="53">
        <v>32529</v>
      </c>
      <c r="AA6" s="53">
        <v>26676</v>
      </c>
      <c r="AB6" s="31">
        <v>26075</v>
      </c>
      <c r="AC6" s="53">
        <f>SUM(R6,V6,Z6)</f>
        <v>95054</v>
      </c>
      <c r="AD6" s="53">
        <f t="shared" ref="AD6:AE8" si="0">SUM(S6,W6,AA6)</f>
        <v>58107</v>
      </c>
      <c r="AE6" s="53">
        <f t="shared" si="0"/>
        <v>70874</v>
      </c>
      <c r="AF6" s="49">
        <f>(AB6-AA6)/AA6</f>
        <v>-2.2529614634877793E-2</v>
      </c>
      <c r="AG6" s="49"/>
      <c r="AH6" s="31"/>
      <c r="AI6" s="53"/>
      <c r="AJ6" s="49"/>
      <c r="AK6" s="234"/>
      <c r="AL6" s="128"/>
      <c r="AM6" s="128"/>
      <c r="AN6" s="49"/>
      <c r="AO6" s="49"/>
      <c r="AP6" s="53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175909</v>
      </c>
      <c r="BL6" s="54">
        <f>SUM(D6,H6,L6,S6,W6,AA6,AH6,AL6,AP6,AW6,BA6,BE6)</f>
        <v>112787</v>
      </c>
      <c r="BM6" s="145">
        <f>SUM(E6,I6,M6,T6,X6,AB6,AI6,AM6,AQ6,AX6,BB6,BF6)</f>
        <v>134396</v>
      </c>
      <c r="BN6" s="32">
        <f>(BM6-BL6)/BL6</f>
        <v>0.19159122948566767</v>
      </c>
    </row>
    <row r="7" spans="2:69">
      <c r="B7" s="248" t="s">
        <v>3</v>
      </c>
      <c r="C7" s="53">
        <v>3250</v>
      </c>
      <c r="D7" s="185">
        <v>2881</v>
      </c>
      <c r="E7" s="31">
        <v>2580</v>
      </c>
      <c r="F7" s="198">
        <f>(E7-D7)/D7</f>
        <v>-0.1044776119402985</v>
      </c>
      <c r="G7" s="53">
        <v>3335</v>
      </c>
      <c r="H7" s="53">
        <v>3305</v>
      </c>
      <c r="I7" s="31">
        <v>3794</v>
      </c>
      <c r="J7" s="198">
        <f t="shared" ref="J7:J10" si="1">(I7-H7)/H7</f>
        <v>0.14795763993948563</v>
      </c>
      <c r="K7" s="53">
        <v>4288</v>
      </c>
      <c r="L7" s="53">
        <v>1886</v>
      </c>
      <c r="M7" s="214">
        <v>5409</v>
      </c>
      <c r="N7" s="53">
        <f t="shared" ref="N7:N9" si="2">SUM(C7,G7,K7)</f>
        <v>10873</v>
      </c>
      <c r="O7" s="53">
        <f t="shared" ref="O7:O9" si="3">SUM(D7,H7,L7)</f>
        <v>8072</v>
      </c>
      <c r="P7" s="53">
        <f t="shared" ref="P7:P9" si="4">SUM(E7,I7,M7)</f>
        <v>11783</v>
      </c>
      <c r="Q7" s="226">
        <f t="shared" ref="Q7:Q10" si="5">(M7-L7)/L7</f>
        <v>1.8679745493107105</v>
      </c>
      <c r="R7" s="53">
        <v>4315</v>
      </c>
      <c r="S7" s="142">
        <v>2188</v>
      </c>
      <c r="T7" s="55">
        <v>4666</v>
      </c>
      <c r="U7" s="49">
        <f t="shared" ref="U7:U10" si="6">(T7-S7)/S7</f>
        <v>1.1325411334552102</v>
      </c>
      <c r="V7" s="53">
        <v>4038</v>
      </c>
      <c r="W7" s="53">
        <v>2920</v>
      </c>
      <c r="X7" s="31">
        <v>5286</v>
      </c>
      <c r="Y7" s="49">
        <f t="shared" ref="Y7:Y10" si="7">(X7-W7)/W7</f>
        <v>0.8102739726027397</v>
      </c>
      <c r="Z7" s="53">
        <v>3952</v>
      </c>
      <c r="AA7" s="53">
        <v>3638</v>
      </c>
      <c r="AB7" s="31">
        <v>9054</v>
      </c>
      <c r="AC7" s="53">
        <f t="shared" ref="AC7:AC10" si="8">SUM(R7,V7,Z7)</f>
        <v>12305</v>
      </c>
      <c r="AD7" s="53">
        <f t="shared" si="0"/>
        <v>8746</v>
      </c>
      <c r="AE7" s="53">
        <f t="shared" si="0"/>
        <v>19006</v>
      </c>
      <c r="AF7" s="49">
        <f t="shared" ref="AF7:AF10" si="9">(AB7-AA7)/AA7</f>
        <v>1.4887300714678395</v>
      </c>
      <c r="AG7" s="49"/>
      <c r="AH7" s="120"/>
      <c r="AI7" s="120"/>
      <c r="AJ7" s="49"/>
      <c r="AK7" s="49"/>
      <c r="AL7" s="129"/>
      <c r="AM7" s="129"/>
      <c r="AN7" s="49"/>
      <c r="AO7" s="49"/>
      <c r="AP7" s="53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10" si="10">SUM(C7,G7,K7,R7,V7,Z7,AG7,AK7,AO7,AV7,AZ7,BD7)</f>
        <v>23178</v>
      </c>
      <c r="BL7" s="145">
        <f t="shared" ref="BL7:BL9" si="11">SUM(D7,H7,L7,S7,W7,AA7,AH7,AL7,AP7,AW7,BA7,BE7)</f>
        <v>16818</v>
      </c>
      <c r="BM7" s="145">
        <f t="shared" ref="BM7:BM9" si="12">SUM(E7,I7,M7,T7,X7,AB7,AI7,AM7,AQ7,AX7,BB7,BF7)</f>
        <v>30789</v>
      </c>
      <c r="BN7" s="32">
        <f>(BM7-BL7)/BL7</f>
        <v>0.83071708883339279</v>
      </c>
    </row>
    <row r="8" spans="2:69">
      <c r="B8" s="248" t="s">
        <v>4</v>
      </c>
      <c r="C8" s="53">
        <v>636</v>
      </c>
      <c r="D8" s="185">
        <v>482</v>
      </c>
      <c r="E8" s="31">
        <v>455</v>
      </c>
      <c r="F8" s="198">
        <f>(E8-D8)/D8</f>
        <v>-5.6016597510373446E-2</v>
      </c>
      <c r="G8" s="53">
        <v>621</v>
      </c>
      <c r="H8" s="53">
        <v>506</v>
      </c>
      <c r="I8" s="31">
        <v>490</v>
      </c>
      <c r="J8" s="198">
        <f t="shared" si="1"/>
        <v>-3.1620553359683792E-2</v>
      </c>
      <c r="K8" s="53">
        <v>988</v>
      </c>
      <c r="L8" s="53">
        <v>474</v>
      </c>
      <c r="M8" s="214">
        <v>819</v>
      </c>
      <c r="N8" s="53">
        <f t="shared" si="2"/>
        <v>2245</v>
      </c>
      <c r="O8" s="53">
        <f t="shared" si="3"/>
        <v>1462</v>
      </c>
      <c r="P8" s="53">
        <f t="shared" si="4"/>
        <v>1764</v>
      </c>
      <c r="Q8" s="226">
        <f t="shared" si="5"/>
        <v>0.72784810126582278</v>
      </c>
      <c r="R8" s="53">
        <v>913</v>
      </c>
      <c r="S8" s="53">
        <v>478</v>
      </c>
      <c r="T8" s="31">
        <v>678</v>
      </c>
      <c r="U8" s="49">
        <f t="shared" si="6"/>
        <v>0.41841004184100417</v>
      </c>
      <c r="V8" s="53">
        <v>834</v>
      </c>
      <c r="W8" s="53">
        <v>474</v>
      </c>
      <c r="X8" s="31">
        <v>621</v>
      </c>
      <c r="Y8" s="49">
        <f t="shared" si="7"/>
        <v>0.310126582278481</v>
      </c>
      <c r="Z8" s="53">
        <v>1415</v>
      </c>
      <c r="AA8" s="52">
        <v>462</v>
      </c>
      <c r="AB8" s="10">
        <v>738</v>
      </c>
      <c r="AC8" s="53">
        <f t="shared" si="8"/>
        <v>3162</v>
      </c>
      <c r="AD8" s="53">
        <f t="shared" si="0"/>
        <v>1414</v>
      </c>
      <c r="AE8" s="53">
        <f t="shared" si="0"/>
        <v>2037</v>
      </c>
      <c r="AF8" s="49">
        <f t="shared" si="9"/>
        <v>0.59740259740259738</v>
      </c>
      <c r="AG8" s="49"/>
      <c r="AH8" s="120"/>
      <c r="AI8" s="120"/>
      <c r="AJ8" s="49"/>
      <c r="AK8" s="49"/>
      <c r="AL8" s="129"/>
      <c r="AM8" s="129"/>
      <c r="AN8" s="49"/>
      <c r="AO8" s="49"/>
      <c r="AP8" s="53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31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10"/>
        <v>5407</v>
      </c>
      <c r="BL8" s="145">
        <f t="shared" si="11"/>
        <v>2876</v>
      </c>
      <c r="BM8" s="145">
        <f t="shared" si="12"/>
        <v>3801</v>
      </c>
      <c r="BN8" s="32">
        <f>(BM8-BL8)/BL8</f>
        <v>0.32162726008344922</v>
      </c>
    </row>
    <row r="9" spans="2:69">
      <c r="B9" s="248" t="s">
        <v>5</v>
      </c>
      <c r="C9" s="53">
        <v>100</v>
      </c>
      <c r="D9" s="185">
        <v>56</v>
      </c>
      <c r="E9" s="31">
        <v>95</v>
      </c>
      <c r="F9" s="198">
        <f>(E9-D9)/D9</f>
        <v>0.6964285714285714</v>
      </c>
      <c r="G9" s="53">
        <v>73</v>
      </c>
      <c r="H9" s="53">
        <v>95</v>
      </c>
      <c r="I9" s="31">
        <v>86</v>
      </c>
      <c r="J9" s="198">
        <f t="shared" si="1"/>
        <v>-9.4736842105263161E-2</v>
      </c>
      <c r="K9" s="53">
        <v>65</v>
      </c>
      <c r="L9" s="53">
        <v>73</v>
      </c>
      <c r="M9" s="214">
        <v>86</v>
      </c>
      <c r="N9" s="53">
        <f t="shared" si="2"/>
        <v>238</v>
      </c>
      <c r="O9" s="53">
        <f t="shared" si="3"/>
        <v>224</v>
      </c>
      <c r="P9" s="53">
        <f t="shared" si="4"/>
        <v>267</v>
      </c>
      <c r="Q9" s="226">
        <f t="shared" si="5"/>
        <v>0.17808219178082191</v>
      </c>
      <c r="R9" s="53">
        <v>54</v>
      </c>
      <c r="S9" s="53">
        <v>2</v>
      </c>
      <c r="T9" s="31">
        <v>52</v>
      </c>
      <c r="U9" s="49">
        <f t="shared" si="6"/>
        <v>25</v>
      </c>
      <c r="V9" s="53">
        <v>142</v>
      </c>
      <c r="W9" s="53">
        <v>55</v>
      </c>
      <c r="X9" s="31">
        <v>54</v>
      </c>
      <c r="Y9" s="49">
        <f t="shared" si="7"/>
        <v>-1.8181818181818181E-2</v>
      </c>
      <c r="Z9" s="52">
        <v>128</v>
      </c>
      <c r="AA9" s="52">
        <v>69</v>
      </c>
      <c r="AB9" s="10">
        <v>82</v>
      </c>
      <c r="AC9" s="53">
        <f t="shared" si="8"/>
        <v>324</v>
      </c>
      <c r="AD9" s="53">
        <f t="shared" ref="AD9:AD10" si="13">SUM(S9,W9,AA9)</f>
        <v>126</v>
      </c>
      <c r="AE9" s="53">
        <f t="shared" ref="AE9:AE10" si="14">SUM(T9,X9,AB9)</f>
        <v>188</v>
      </c>
      <c r="AF9" s="49">
        <f t="shared" si="9"/>
        <v>0.18840579710144928</v>
      </c>
      <c r="AG9" s="49"/>
      <c r="AH9" s="120"/>
      <c r="AI9" s="120"/>
      <c r="AJ9" s="49"/>
      <c r="AK9" s="49"/>
      <c r="AL9" s="129"/>
      <c r="AM9" s="129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35"/>
      <c r="BF9" s="53"/>
      <c r="BG9" s="53"/>
      <c r="BH9" s="53"/>
      <c r="BI9" s="53"/>
      <c r="BJ9" s="49"/>
      <c r="BK9" s="145">
        <f t="shared" si="10"/>
        <v>562</v>
      </c>
      <c r="BL9" s="145">
        <f t="shared" si="11"/>
        <v>350</v>
      </c>
      <c r="BM9" s="145">
        <f t="shared" si="12"/>
        <v>455</v>
      </c>
      <c r="BN9" s="32">
        <f>(BM9-BL9)/BL9</f>
        <v>0.3</v>
      </c>
    </row>
    <row r="10" spans="2:69" s="9" customFormat="1">
      <c r="B10" s="249" t="s">
        <v>7</v>
      </c>
      <c r="C10" s="187">
        <f>SUM(C6:C9)</f>
        <v>29243</v>
      </c>
      <c r="D10" s="187">
        <f>SUM(D6:D9)</f>
        <v>26378</v>
      </c>
      <c r="E10" s="15">
        <f>SUM(E6:E9)</f>
        <v>17263</v>
      </c>
      <c r="F10" s="50">
        <f>(E10-D10)/D10</f>
        <v>-0.34555311244218667</v>
      </c>
      <c r="G10" s="145">
        <f>SUM(G6:G9)</f>
        <v>27669</v>
      </c>
      <c r="H10" s="15">
        <f>SUM(H6:H9)</f>
        <v>24973</v>
      </c>
      <c r="I10" s="15">
        <f>SUM(I6:I9)</f>
        <v>24233</v>
      </c>
      <c r="J10" s="198">
        <f t="shared" si="1"/>
        <v>-2.9632002562767788E-2</v>
      </c>
      <c r="K10" s="145">
        <f>SUM(K6:K9)</f>
        <v>37299</v>
      </c>
      <c r="L10" s="15">
        <f>SUM(L6:L9)</f>
        <v>13087</v>
      </c>
      <c r="M10" s="15">
        <f>SUM(M6:M9)</f>
        <v>35840</v>
      </c>
      <c r="N10" s="227">
        <f>SUM(N6:N9)</f>
        <v>94211</v>
      </c>
      <c r="O10" s="227">
        <f t="shared" ref="O10:P10" si="15">SUM(O6:O9)</f>
        <v>64438</v>
      </c>
      <c r="P10" s="227">
        <f t="shared" si="15"/>
        <v>77336</v>
      </c>
      <c r="Q10" s="226">
        <f t="shared" si="5"/>
        <v>1.7385955528386949</v>
      </c>
      <c r="R10" s="333">
        <f>SUM(R6:R9)</f>
        <v>37233</v>
      </c>
      <c r="S10" s="54">
        <f>SUM(S6:S9)</f>
        <v>13888</v>
      </c>
      <c r="T10" s="15">
        <f>SUM(T6:T9)</f>
        <v>27692</v>
      </c>
      <c r="U10" s="49">
        <f t="shared" si="6"/>
        <v>0.99395161290322576</v>
      </c>
      <c r="V10" s="289">
        <f>SUM(V6:V9)</f>
        <v>35588</v>
      </c>
      <c r="W10" s="289">
        <f>SUM(W6:W9)</f>
        <v>23660</v>
      </c>
      <c r="X10" s="15">
        <f>SUM(X6:X9)</f>
        <v>28464</v>
      </c>
      <c r="Y10" s="50">
        <f t="shared" si="7"/>
        <v>0.20304311073541842</v>
      </c>
      <c r="Z10" s="289">
        <f>SUM(Z6:Z9)</f>
        <v>38024</v>
      </c>
      <c r="AA10" s="332">
        <f>SUM(AA6:AA9)</f>
        <v>30845</v>
      </c>
      <c r="AB10" s="332">
        <f>SUM(AB6:AB9)</f>
        <v>35949</v>
      </c>
      <c r="AC10" s="145">
        <f t="shared" si="8"/>
        <v>110845</v>
      </c>
      <c r="AD10" s="145">
        <f t="shared" si="13"/>
        <v>68393</v>
      </c>
      <c r="AE10" s="145">
        <f t="shared" si="14"/>
        <v>92105</v>
      </c>
      <c r="AF10" s="50">
        <f t="shared" si="9"/>
        <v>0.16547252390987194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145"/>
      <c r="BC10" s="50"/>
      <c r="BD10" s="50"/>
      <c r="BE10" s="145"/>
      <c r="BF10" s="145"/>
      <c r="BG10" s="145"/>
      <c r="BH10" s="145"/>
      <c r="BI10" s="145"/>
      <c r="BJ10" s="50"/>
      <c r="BK10" s="145">
        <f t="shared" si="10"/>
        <v>205056</v>
      </c>
      <c r="BL10" s="54">
        <f>SUM(D10,H10,L10,S10,W10,AA10,AH10,AL10,AP10,AW10,BA10,BE10)</f>
        <v>132831</v>
      </c>
      <c r="BM10" s="145">
        <f>SUM(E10,I10,M10,T10,X10,AB10,AI10,AM10,AQ10,AX10,BB10,BF10)</f>
        <v>169441</v>
      </c>
      <c r="BN10" s="30">
        <f>(BM10-BL10)/BL10</f>
        <v>0.27561337338422509</v>
      </c>
      <c r="BP10" s="21"/>
      <c r="BQ10" s="20"/>
    </row>
    <row r="12" spans="2:69">
      <c r="B12" s="112" t="s">
        <v>104</v>
      </c>
      <c r="C12" s="112"/>
      <c r="D12" s="67" t="s">
        <v>105</v>
      </c>
      <c r="AX12" s="51"/>
      <c r="BL12" s="142"/>
    </row>
    <row r="13" spans="2:69">
      <c r="B13" s="68" t="s">
        <v>128</v>
      </c>
      <c r="C13" s="68"/>
      <c r="AJ13" s="22"/>
      <c r="AK13" s="63"/>
      <c r="AL13" s="22"/>
      <c r="AM13" s="22"/>
      <c r="AN13" s="64"/>
      <c r="AO13" s="142"/>
      <c r="AP13" s="64"/>
      <c r="AQ13" s="64"/>
      <c r="AR13" s="142"/>
      <c r="AS13" s="142"/>
      <c r="AT13" s="142"/>
      <c r="AU13" s="64"/>
      <c r="AV13" s="142"/>
      <c r="AW13" s="22"/>
      <c r="AX13" s="22"/>
      <c r="AY13" s="22"/>
      <c r="AZ13" s="63"/>
      <c r="BA13" s="22"/>
      <c r="BB13" s="22"/>
      <c r="BC13" s="22"/>
      <c r="BD13" s="63"/>
      <c r="BM13" s="142"/>
    </row>
    <row r="14" spans="2:69">
      <c r="D14" s="22"/>
      <c r="E14" s="22"/>
      <c r="F14" s="22"/>
      <c r="G14" s="63"/>
      <c r="H14" s="22"/>
      <c r="I14" s="22"/>
      <c r="AN14" s="64"/>
      <c r="AO14" s="142"/>
      <c r="AP14" s="64"/>
      <c r="AQ14" s="64"/>
      <c r="AR14" s="142"/>
      <c r="AS14" s="142"/>
      <c r="AT14" s="142"/>
      <c r="AU14" s="64"/>
      <c r="AV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</row>
    <row r="15" spans="2:69">
      <c r="D15" s="92"/>
      <c r="E15" s="92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51"/>
      <c r="W15" s="51"/>
      <c r="X15" s="51"/>
      <c r="Y15" s="51"/>
      <c r="AA15" s="51"/>
      <c r="AB15" s="51"/>
      <c r="AF15" s="51"/>
      <c r="AH15" s="92"/>
      <c r="AI15" s="92"/>
      <c r="AJ15" s="23"/>
      <c r="AK15" s="142"/>
      <c r="AL15" s="23"/>
      <c r="AM15" s="23"/>
      <c r="AN15" s="64"/>
      <c r="AO15" s="142"/>
      <c r="AP15" s="64"/>
      <c r="AQ15" s="64"/>
      <c r="AR15" s="142"/>
      <c r="AS15" s="142"/>
      <c r="AT15" s="142"/>
      <c r="AU15" s="64"/>
      <c r="AV15" s="142"/>
      <c r="AW15" s="23"/>
      <c r="AX15" s="23"/>
      <c r="AY15" s="23"/>
      <c r="AZ15" s="142"/>
      <c r="BA15" s="23"/>
      <c r="BB15" s="23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</row>
    <row r="16" spans="2:69">
      <c r="D16" s="92"/>
      <c r="E16" s="51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51"/>
      <c r="W16" s="51"/>
      <c r="X16" s="51"/>
      <c r="Y16" s="51"/>
      <c r="AA16" s="51"/>
      <c r="AB16" s="51"/>
      <c r="AF16" s="51"/>
      <c r="AH16" s="105"/>
      <c r="AI16" s="92"/>
      <c r="AJ16" s="23"/>
      <c r="AK16" s="142"/>
      <c r="AL16" s="23"/>
      <c r="AM16" s="23"/>
      <c r="AN16" s="64"/>
      <c r="AO16" s="142"/>
      <c r="AP16" s="64"/>
      <c r="AQ16" s="64"/>
      <c r="AR16" s="142"/>
      <c r="AS16" s="142"/>
      <c r="AT16" s="142"/>
      <c r="AU16" s="64"/>
      <c r="AV16" s="142"/>
      <c r="AW16" s="23"/>
      <c r="AX16" s="23"/>
      <c r="AY16" s="23"/>
      <c r="AZ16" s="142"/>
      <c r="BA16" s="23"/>
      <c r="BB16" s="23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</row>
    <row r="17" spans="4:65">
      <c r="D17" s="92"/>
      <c r="E17" s="106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51"/>
      <c r="W17" s="51"/>
      <c r="X17" s="51"/>
      <c r="Y17" s="51"/>
      <c r="Z17" s="316"/>
      <c r="AA17" s="316"/>
      <c r="AB17" s="316"/>
      <c r="AC17" s="316"/>
      <c r="AF17" s="51"/>
      <c r="AH17" s="105"/>
      <c r="AI17" s="92"/>
      <c r="AJ17" s="23"/>
      <c r="AK17" s="142"/>
      <c r="AL17" s="23"/>
      <c r="AM17" s="23"/>
      <c r="AN17" s="64"/>
      <c r="AO17" s="142"/>
      <c r="AP17" s="64"/>
      <c r="AQ17" s="64"/>
      <c r="AR17" s="142"/>
      <c r="AS17" s="142"/>
      <c r="AT17" s="142"/>
      <c r="AU17" s="64"/>
      <c r="AV17" s="142"/>
      <c r="AW17" s="23"/>
      <c r="AX17" s="23"/>
      <c r="AY17" s="23"/>
      <c r="AZ17" s="142"/>
      <c r="BA17" s="23"/>
      <c r="BB17" s="23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</row>
    <row r="18" spans="4:65">
      <c r="D18" s="107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51"/>
      <c r="W18" s="51"/>
      <c r="X18" s="51"/>
      <c r="Y18" s="51"/>
      <c r="Z18" s="316"/>
      <c r="AA18" s="316"/>
      <c r="AB18" s="316"/>
      <c r="AC18" s="316"/>
      <c r="AF18" s="51"/>
      <c r="AH18" s="109"/>
      <c r="AI18" s="92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</row>
    <row r="19" spans="4:65"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51"/>
      <c r="W19" s="51"/>
      <c r="X19" s="51"/>
      <c r="Y19" s="51"/>
      <c r="Z19" s="316"/>
      <c r="AA19" s="316"/>
      <c r="AB19" s="316"/>
      <c r="AC19" s="316"/>
      <c r="AF19" s="51"/>
      <c r="AH19" s="109"/>
      <c r="AI19" s="92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</row>
    <row r="20" spans="4:65"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51"/>
      <c r="W20" s="51"/>
      <c r="X20" s="51"/>
      <c r="Y20" s="51"/>
      <c r="Z20" s="316"/>
      <c r="AA20" s="316"/>
      <c r="AB20" s="316"/>
      <c r="AC20" s="316"/>
      <c r="AF20" s="51"/>
      <c r="AH20" s="109"/>
      <c r="AI20" s="92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</row>
    <row r="21" spans="4:65">
      <c r="D21" s="107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51"/>
      <c r="W21" s="51"/>
      <c r="X21" s="51"/>
      <c r="Y21" s="51"/>
      <c r="Z21" s="316"/>
      <c r="AA21" s="316"/>
      <c r="AB21" s="316"/>
      <c r="AC21" s="316"/>
      <c r="AF21" s="51"/>
      <c r="AH21" s="109"/>
      <c r="AI21" s="92"/>
    </row>
    <row r="22" spans="4:65">
      <c r="D22" s="110"/>
      <c r="E22" s="111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51"/>
      <c r="W22" s="51"/>
      <c r="X22" s="51"/>
      <c r="Y22" s="51"/>
      <c r="Z22" s="316"/>
      <c r="AA22" s="316"/>
      <c r="AB22" s="316"/>
      <c r="AC22" s="316"/>
      <c r="AF22" s="51"/>
      <c r="AH22" s="109"/>
      <c r="AI22" s="92"/>
    </row>
    <row r="23" spans="4:65">
      <c r="D23" s="92"/>
      <c r="E23" s="92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51"/>
      <c r="W23" s="51"/>
      <c r="X23" s="51"/>
      <c r="Y23" s="51"/>
      <c r="Z23" s="316"/>
      <c r="AA23" s="316"/>
      <c r="AB23" s="316"/>
      <c r="AC23" s="316"/>
      <c r="AF23" s="51"/>
      <c r="AH23" s="92"/>
      <c r="AI23" s="92"/>
    </row>
    <row r="24" spans="4:65">
      <c r="H24" s="178" t="s">
        <v>132</v>
      </c>
      <c r="I24"/>
      <c r="J24"/>
      <c r="L24" s="108"/>
      <c r="M24" s="108"/>
      <c r="N24" s="108"/>
      <c r="O24" s="108"/>
      <c r="P24" s="108"/>
      <c r="Q24" s="108"/>
      <c r="R24" s="108"/>
      <c r="S24" s="108"/>
      <c r="T24" s="108"/>
      <c r="U24" s="51"/>
      <c r="W24" s="51"/>
      <c r="X24" s="51"/>
      <c r="Y24" s="51"/>
      <c r="AA24" s="51"/>
      <c r="AB24" s="51"/>
      <c r="AF24" s="51"/>
    </row>
    <row r="25" spans="4:65">
      <c r="I25" s="51"/>
      <c r="J25" s="51"/>
      <c r="L25" s="108"/>
      <c r="M25" s="108"/>
      <c r="N25" s="108"/>
      <c r="O25" s="108"/>
      <c r="P25" s="108"/>
      <c r="Q25" s="108"/>
      <c r="R25" s="108"/>
      <c r="S25" s="108"/>
      <c r="T25" s="108"/>
      <c r="U25" s="51"/>
      <c r="W25" s="51"/>
      <c r="X25" s="51"/>
      <c r="Y25" s="51"/>
      <c r="AA25" s="51"/>
      <c r="AB25" s="51"/>
      <c r="AF25" s="51"/>
    </row>
    <row r="26" spans="4:65">
      <c r="I26" s="51"/>
      <c r="J26" s="51"/>
      <c r="L26" s="108"/>
      <c r="M26" s="108"/>
      <c r="N26" s="108"/>
      <c r="O26" s="108"/>
      <c r="P26" s="108"/>
      <c r="Q26" s="108"/>
      <c r="R26" s="108"/>
      <c r="S26" s="108"/>
      <c r="T26" s="108"/>
      <c r="U26" s="51"/>
      <c r="W26" s="51"/>
      <c r="X26" s="51"/>
      <c r="Y26" s="51"/>
      <c r="AA26" s="51"/>
      <c r="AB26" s="51"/>
      <c r="AF26" s="51"/>
    </row>
    <row r="27" spans="4:65">
      <c r="L27" s="108"/>
      <c r="M27" s="108"/>
      <c r="N27" s="108"/>
      <c r="O27" s="108"/>
      <c r="P27" s="108"/>
      <c r="Q27" s="108"/>
      <c r="R27" s="108"/>
      <c r="S27" s="108"/>
      <c r="T27" s="108"/>
    </row>
    <row r="28" spans="4:65">
      <c r="O28" s="68"/>
      <c r="P28"/>
      <c r="Q28"/>
      <c r="R28"/>
    </row>
    <row r="29" spans="4:65">
      <c r="O29" s="68"/>
      <c r="P29"/>
      <c r="Q29"/>
      <c r="R29"/>
    </row>
    <row r="30" spans="4:65">
      <c r="O30" s="68"/>
      <c r="P30"/>
      <c r="Q30"/>
      <c r="R30"/>
    </row>
    <row r="31" spans="4:65">
      <c r="O31" s="68"/>
      <c r="P31"/>
      <c r="Q31"/>
      <c r="R3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80791A3E-5E32-4863-B5F7-DC91CC15DD7C}"/>
  </hyperlinks>
  <pageMargins left="0.7" right="0.7" top="0.78740157499999996" bottom="0.78740157499999996" header="0.3" footer="0.3"/>
  <pageSetup paperSize="9" orientation="portrait" r:id="rId2"/>
  <ignoredErrors>
    <ignoredError sqref="C10:E10 G10:I10 K10 R10:S10 V10:X10 Z10:AB10 T10" formulaRange="1"/>
    <ignoredError sqref="F10 L10:M10" formula="1" formulaRange="1"/>
    <ignoredError sqref="J10 Q10 U10 Y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83FA-F806-4F34-94E2-E9FD8609F3AF}">
  <dimension ref="A1:BP21"/>
  <sheetViews>
    <sheetView topLeftCell="B1" zoomScaleNormal="100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8.8554687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855468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9.85546875" style="51" customWidth="1"/>
    <col min="19" max="19" width="9.28515625" style="21" customWidth="1"/>
    <col min="20" max="20" width="9.7109375" style="21" customWidth="1"/>
    <col min="21" max="21" width="11.140625" style="21" customWidth="1"/>
    <col min="22" max="22" width="10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10.14062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16384" width="11.42578125" style="21"/>
  </cols>
  <sheetData>
    <row r="1" spans="2:68">
      <c r="B1" s="9" t="s">
        <v>46</v>
      </c>
      <c r="C1" s="57"/>
    </row>
    <row r="2" spans="2:68">
      <c r="B2" s="41"/>
      <c r="C2" s="68"/>
      <c r="AB2" s="23"/>
      <c r="AC2" s="142"/>
      <c r="AD2" s="142"/>
      <c r="AE2" s="142"/>
    </row>
    <row r="4" spans="2:68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75" t="s">
        <v>28</v>
      </c>
      <c r="BL4" s="376"/>
      <c r="BM4" s="368" t="s">
        <v>129</v>
      </c>
    </row>
    <row r="5" spans="2:68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2">
        <v>2020</v>
      </c>
      <c r="BL5" s="12">
        <v>2021</v>
      </c>
      <c r="BM5" s="369"/>
    </row>
    <row r="6" spans="2:68">
      <c r="B6" s="248" t="s">
        <v>6</v>
      </c>
      <c r="C6" s="53">
        <v>51074</v>
      </c>
      <c r="D6" s="185">
        <v>51840</v>
      </c>
      <c r="E6" s="172">
        <v>37735</v>
      </c>
      <c r="F6" s="198">
        <f>(E6-D6)/D6</f>
        <v>-0.27208719135802467</v>
      </c>
      <c r="G6" s="53">
        <v>49919</v>
      </c>
      <c r="H6" s="53">
        <v>46775</v>
      </c>
      <c r="I6" s="2">
        <v>36536</v>
      </c>
      <c r="J6" s="198">
        <f>(I6-H6)/H6</f>
        <v>-0.21889898450026724</v>
      </c>
      <c r="K6" s="53">
        <v>54872</v>
      </c>
      <c r="L6" s="53">
        <v>28801</v>
      </c>
      <c r="M6" s="214">
        <v>44966</v>
      </c>
      <c r="N6" s="53">
        <f>SUM(C6,G6,K6)</f>
        <v>155865</v>
      </c>
      <c r="O6" s="53">
        <f>SUM(D6,H6,L6)</f>
        <v>127416</v>
      </c>
      <c r="P6" s="53">
        <f>SUM(E6,I6,M6)</f>
        <v>119237</v>
      </c>
      <c r="Q6" s="222">
        <f>(M6-L6)/L6</f>
        <v>0.56126523384604698</v>
      </c>
      <c r="R6" s="53">
        <v>53498</v>
      </c>
      <c r="S6" s="53">
        <v>5296</v>
      </c>
      <c r="T6" s="2">
        <v>37192</v>
      </c>
      <c r="U6" s="49">
        <f>(T6-S6)/S6</f>
        <v>6.0226586102719031</v>
      </c>
      <c r="V6" s="53">
        <v>51081</v>
      </c>
      <c r="W6" s="53">
        <v>34752</v>
      </c>
      <c r="X6" s="2">
        <v>34836</v>
      </c>
      <c r="Y6" s="49">
        <f>(X6-W6)/W6</f>
        <v>2.4171270718232043E-3</v>
      </c>
      <c r="Z6" s="53">
        <v>50044</v>
      </c>
      <c r="AA6" s="53">
        <v>49141</v>
      </c>
      <c r="AB6" s="31">
        <v>41126</v>
      </c>
      <c r="AC6" s="53">
        <f>SUM(R6,V6,Z6)</f>
        <v>154623</v>
      </c>
      <c r="AD6" s="53">
        <f t="shared" ref="AD6:AE10" si="0">SUM(S6,W6,AA6)</f>
        <v>89189</v>
      </c>
      <c r="AE6" s="53">
        <f t="shared" si="0"/>
        <v>113154</v>
      </c>
      <c r="AF6" s="49">
        <f>(AB6-AA6)/AA6</f>
        <v>-0.16310209397448158</v>
      </c>
      <c r="AG6" s="49"/>
      <c r="AH6" s="2"/>
      <c r="AI6" s="53"/>
      <c r="AJ6" s="49"/>
      <c r="AK6" s="49"/>
      <c r="AL6" s="121"/>
      <c r="AM6" s="121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SUM(D6,H6,L6,S6,W6,AA6,AH6,AL6,AP6,AW6,BA6,BE6)</f>
        <v>216605</v>
      </c>
      <c r="BL6" s="3">
        <f>SUM(E6,I6,M6,T6,X6,AB6,AI6,AM6,AQ6,AX6,BB6,BF6)</f>
        <v>232391</v>
      </c>
      <c r="BM6" s="13">
        <f>(BL6-BK6)/BK6</f>
        <v>7.2879204081161567E-2</v>
      </c>
    </row>
    <row r="7" spans="2:68">
      <c r="B7" s="248" t="s">
        <v>3</v>
      </c>
      <c r="C7" s="53">
        <v>7640</v>
      </c>
      <c r="D7" s="185">
        <v>7814</v>
      </c>
      <c r="E7" s="2">
        <v>7182</v>
      </c>
      <c r="F7" s="198">
        <f>(E7-D7)/D7</f>
        <v>-8.0880470949577676E-2</v>
      </c>
      <c r="G7" s="53">
        <v>6745</v>
      </c>
      <c r="H7" s="53">
        <v>7048</v>
      </c>
      <c r="I7" s="2">
        <v>6989</v>
      </c>
      <c r="J7" s="198">
        <f t="shared" ref="J7:J10" si="1">(I7-H7)/H7</f>
        <v>-8.3711691259931893E-3</v>
      </c>
      <c r="K7" s="53">
        <v>7807</v>
      </c>
      <c r="L7" s="53">
        <v>4386</v>
      </c>
      <c r="M7" s="214">
        <v>8188</v>
      </c>
      <c r="N7" s="53">
        <f t="shared" ref="N7:N9" si="2">SUM(C7,G7,K7)</f>
        <v>22192</v>
      </c>
      <c r="O7" s="53">
        <f t="shared" ref="O7:O9" si="3">SUM(D7,H7,L7)</f>
        <v>19248</v>
      </c>
      <c r="P7" s="53">
        <f t="shared" ref="P7:P9" si="4">SUM(E7,I7,M7)</f>
        <v>22359</v>
      </c>
      <c r="Q7" s="222">
        <f t="shared" ref="Q7:Q10" si="5">(M7-L7)/L7</f>
        <v>0.86684906520747829</v>
      </c>
      <c r="R7" s="53">
        <v>6953</v>
      </c>
      <c r="S7" s="53">
        <v>1369</v>
      </c>
      <c r="T7" s="23">
        <v>6973</v>
      </c>
      <c r="U7" s="49">
        <f t="shared" ref="U7:U10" si="6">(T7-S7)/S7</f>
        <v>4.0934989043097154</v>
      </c>
      <c r="V7" s="53">
        <v>7412</v>
      </c>
      <c r="W7" s="53">
        <v>5750</v>
      </c>
      <c r="X7" s="2">
        <v>6021</v>
      </c>
      <c r="Y7" s="49">
        <f t="shared" ref="Y7:Y10" si="7">(X7-W7)/W7</f>
        <v>4.7130434782608699E-2</v>
      </c>
      <c r="Z7" s="53">
        <v>7164</v>
      </c>
      <c r="AA7" s="53">
        <v>7769</v>
      </c>
      <c r="AB7" s="31">
        <v>6580</v>
      </c>
      <c r="AC7" s="53">
        <f t="shared" ref="AC7:AC10" si="8">SUM(R7,V7,Z7)</f>
        <v>21529</v>
      </c>
      <c r="AD7" s="53">
        <f t="shared" si="0"/>
        <v>14888</v>
      </c>
      <c r="AE7" s="53">
        <f t="shared" si="0"/>
        <v>19574</v>
      </c>
      <c r="AF7" s="49">
        <f t="shared" ref="AF7:AF10" si="9">(AB7-AA7)/AA7</f>
        <v>-0.15304414982623246</v>
      </c>
      <c r="AG7" s="49"/>
      <c r="AH7" s="2"/>
      <c r="AI7" s="53"/>
      <c r="AJ7" s="49"/>
      <c r="AK7" s="49"/>
      <c r="AL7" s="122"/>
      <c r="AM7" s="122"/>
      <c r="AN7" s="49"/>
      <c r="AO7" s="49"/>
      <c r="AP7" s="2"/>
      <c r="AQ7" s="53"/>
      <c r="AR7" s="53"/>
      <c r="AS7" s="53"/>
      <c r="AT7" s="53"/>
      <c r="AU7" s="49"/>
      <c r="AV7" s="49"/>
      <c r="AW7" s="2"/>
      <c r="AX7" s="53"/>
      <c r="AY7" s="49"/>
      <c r="AZ7" s="49"/>
      <c r="BA7" s="2"/>
      <c r="BB7" s="131"/>
      <c r="BC7" s="49"/>
      <c r="BD7" s="49"/>
      <c r="BE7" s="4"/>
      <c r="BF7" s="53"/>
      <c r="BG7" s="53"/>
      <c r="BH7" s="53"/>
      <c r="BI7" s="53"/>
      <c r="BJ7" s="49"/>
      <c r="BK7" s="3">
        <f t="shared" ref="BK7:BK9" si="10">SUM(D7,H7,L7,S7,W7,AA7,AH7,AL7,AP7,AW7,BA7,BE7)</f>
        <v>34136</v>
      </c>
      <c r="BL7" s="3">
        <f t="shared" ref="BL7:BL9" si="11">SUM(E7,I7,M7,T7,X7,AB7,AI7,AM7,AQ7,AX7,BB7,BF7)</f>
        <v>41933</v>
      </c>
      <c r="BM7" s="13">
        <f>(BL7-BK7)/BK7</f>
        <v>0.22840988985235527</v>
      </c>
    </row>
    <row r="8" spans="2:68">
      <c r="B8" s="248" t="s">
        <v>4</v>
      </c>
      <c r="C8" s="53">
        <v>1269</v>
      </c>
      <c r="D8" s="185">
        <v>924</v>
      </c>
      <c r="E8" s="2">
        <v>775</v>
      </c>
      <c r="F8" s="198">
        <f>(E8-D8)/D8</f>
        <v>-0.16125541125541126</v>
      </c>
      <c r="G8" s="53">
        <v>891</v>
      </c>
      <c r="H8" s="53">
        <v>717</v>
      </c>
      <c r="I8" s="2">
        <v>679</v>
      </c>
      <c r="J8" s="198">
        <f t="shared" si="1"/>
        <v>-5.2998605299860529E-2</v>
      </c>
      <c r="K8" s="53">
        <v>1129</v>
      </c>
      <c r="L8" s="53">
        <v>561</v>
      </c>
      <c r="M8" s="214">
        <v>809</v>
      </c>
      <c r="N8" s="53">
        <f t="shared" si="2"/>
        <v>3289</v>
      </c>
      <c r="O8" s="53">
        <f t="shared" si="3"/>
        <v>2202</v>
      </c>
      <c r="P8" s="53">
        <f t="shared" si="4"/>
        <v>2263</v>
      </c>
      <c r="Q8" s="222">
        <f t="shared" si="5"/>
        <v>0.44206773618538325</v>
      </c>
      <c r="R8" s="53">
        <v>1031</v>
      </c>
      <c r="S8" s="53">
        <v>454</v>
      </c>
      <c r="T8" s="2">
        <v>748</v>
      </c>
      <c r="U8" s="49">
        <f t="shared" si="6"/>
        <v>0.64757709251101325</v>
      </c>
      <c r="V8" s="53">
        <v>1275</v>
      </c>
      <c r="W8" s="53">
        <v>515</v>
      </c>
      <c r="X8" s="2">
        <v>629</v>
      </c>
      <c r="Y8" s="49">
        <f t="shared" si="7"/>
        <v>0.22135922330097088</v>
      </c>
      <c r="Z8" s="53">
        <v>1707</v>
      </c>
      <c r="AA8" s="52">
        <v>668</v>
      </c>
      <c r="AB8" s="10">
        <v>714</v>
      </c>
      <c r="AC8" s="53">
        <f t="shared" si="8"/>
        <v>4013</v>
      </c>
      <c r="AD8" s="53">
        <f t="shared" si="0"/>
        <v>1637</v>
      </c>
      <c r="AE8" s="53">
        <f t="shared" si="0"/>
        <v>2091</v>
      </c>
      <c r="AF8" s="49">
        <f t="shared" si="9"/>
        <v>6.8862275449101798E-2</v>
      </c>
      <c r="AG8" s="49"/>
      <c r="AH8" s="2"/>
      <c r="AI8" s="53"/>
      <c r="AJ8" s="49"/>
      <c r="AK8" s="49"/>
      <c r="AL8" s="2"/>
      <c r="AM8" s="10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3">
        <f t="shared" si="10"/>
        <v>3839</v>
      </c>
      <c r="BL8" s="3">
        <f t="shared" si="11"/>
        <v>4354</v>
      </c>
      <c r="BM8" s="13">
        <f>(BL8-BK8)/BK8</f>
        <v>0.13414951810367284</v>
      </c>
    </row>
    <row r="9" spans="2:68">
      <c r="B9" s="248" t="s">
        <v>5</v>
      </c>
      <c r="C9" s="53">
        <v>114</v>
      </c>
      <c r="D9" s="185">
        <v>115</v>
      </c>
      <c r="E9" s="2">
        <v>65</v>
      </c>
      <c r="F9" s="198">
        <f>(E9-D9)/D9</f>
        <v>-0.43478260869565216</v>
      </c>
      <c r="G9" s="53">
        <v>77</v>
      </c>
      <c r="H9" s="53">
        <v>74</v>
      </c>
      <c r="I9" s="2">
        <v>60</v>
      </c>
      <c r="J9" s="198">
        <f t="shared" si="1"/>
        <v>-0.1891891891891892</v>
      </c>
      <c r="K9" s="53">
        <v>84</v>
      </c>
      <c r="L9" s="53">
        <v>37</v>
      </c>
      <c r="M9" s="214">
        <v>116</v>
      </c>
      <c r="N9" s="53">
        <f t="shared" si="2"/>
        <v>275</v>
      </c>
      <c r="O9" s="53">
        <f t="shared" si="3"/>
        <v>226</v>
      </c>
      <c r="P9" s="53">
        <f t="shared" si="4"/>
        <v>241</v>
      </c>
      <c r="Q9" s="222">
        <f t="shared" si="5"/>
        <v>2.1351351351351351</v>
      </c>
      <c r="R9" s="53">
        <v>162</v>
      </c>
      <c r="S9" s="53">
        <v>60</v>
      </c>
      <c r="T9" s="2">
        <v>147</v>
      </c>
      <c r="U9" s="49">
        <f t="shared" si="6"/>
        <v>1.45</v>
      </c>
      <c r="V9" s="53">
        <v>124</v>
      </c>
      <c r="W9" s="53">
        <v>21</v>
      </c>
      <c r="X9" s="2">
        <v>65</v>
      </c>
      <c r="Y9" s="49">
        <f t="shared" si="7"/>
        <v>2.0952380952380953</v>
      </c>
      <c r="Z9" s="52">
        <v>202</v>
      </c>
      <c r="AA9" s="52">
        <v>107</v>
      </c>
      <c r="AB9" s="10">
        <v>78</v>
      </c>
      <c r="AC9" s="53">
        <f t="shared" si="8"/>
        <v>488</v>
      </c>
      <c r="AD9" s="53">
        <f t="shared" si="0"/>
        <v>188</v>
      </c>
      <c r="AE9" s="53">
        <f t="shared" si="0"/>
        <v>290</v>
      </c>
      <c r="AF9" s="49">
        <f t="shared" si="9"/>
        <v>-0.27102803738317754</v>
      </c>
      <c r="AG9" s="49"/>
      <c r="AH9" s="1"/>
      <c r="AI9" s="53"/>
      <c r="AJ9" s="49"/>
      <c r="AK9" s="49"/>
      <c r="AL9" s="2"/>
      <c r="AM9" s="10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4"/>
      <c r="BF9" s="53"/>
      <c r="BG9" s="53"/>
      <c r="BH9" s="53"/>
      <c r="BI9" s="53"/>
      <c r="BJ9" s="49"/>
      <c r="BK9" s="3">
        <f t="shared" si="10"/>
        <v>414</v>
      </c>
      <c r="BL9" s="3">
        <f t="shared" si="11"/>
        <v>531</v>
      </c>
      <c r="BM9" s="13">
        <f>(BL9-BK9)/BK9</f>
        <v>0.28260869565217389</v>
      </c>
    </row>
    <row r="10" spans="2:68" s="9" customFormat="1">
      <c r="B10" s="249" t="s">
        <v>7</v>
      </c>
      <c r="C10" s="187">
        <f>SUM(C6:C9)</f>
        <v>60097</v>
      </c>
      <c r="D10" s="187">
        <f>SUM(D6:D9)</f>
        <v>60693</v>
      </c>
      <c r="E10" s="3">
        <f>SUM(E6:E9)</f>
        <v>45757</v>
      </c>
      <c r="F10" s="50">
        <f>(E10-D10)/D10</f>
        <v>-0.24609098248562436</v>
      </c>
      <c r="G10" s="3">
        <f>SUM(G6:G9)</f>
        <v>57632</v>
      </c>
      <c r="H10" s="3">
        <f>SUM(H6:H9)</f>
        <v>54614</v>
      </c>
      <c r="I10" s="3">
        <f>SUM(I6:I9)</f>
        <v>44264</v>
      </c>
      <c r="J10" s="199">
        <f t="shared" si="1"/>
        <v>-0.18951184677921412</v>
      </c>
      <c r="K10" s="3">
        <f>SUM(K6:K9)</f>
        <v>63892</v>
      </c>
      <c r="L10" s="3">
        <f>SUM(L6:L9)</f>
        <v>33785</v>
      </c>
      <c r="M10" s="3">
        <f>SUM(M6:M9)</f>
        <v>54079</v>
      </c>
      <c r="N10" s="227">
        <f>SUM(N6:N9)</f>
        <v>181621</v>
      </c>
      <c r="O10" s="227">
        <f t="shared" ref="O10:P10" si="12">SUM(O6:O9)</f>
        <v>149092</v>
      </c>
      <c r="P10" s="227">
        <f t="shared" si="12"/>
        <v>144100</v>
      </c>
      <c r="Q10" s="222">
        <f t="shared" si="5"/>
        <v>0.60068077549208232</v>
      </c>
      <c r="R10" s="289">
        <f>SUM(R6:R9)</f>
        <v>61644</v>
      </c>
      <c r="S10" s="3">
        <f>SUM(S6:S9)</f>
        <v>7179</v>
      </c>
      <c r="T10" s="3">
        <f>SUM(T6:T9)</f>
        <v>45060</v>
      </c>
      <c r="U10" s="50">
        <f t="shared" si="6"/>
        <v>5.2766402005850397</v>
      </c>
      <c r="V10" s="289">
        <f>SUM(V6:V9)</f>
        <v>59892</v>
      </c>
      <c r="W10" s="289">
        <f>SUM(W6:W9)</f>
        <v>41038</v>
      </c>
      <c r="X10" s="289">
        <f>SUM(X6:X9)</f>
        <v>41551</v>
      </c>
      <c r="Y10" s="50">
        <f t="shared" si="7"/>
        <v>1.2500609191481066E-2</v>
      </c>
      <c r="Z10" s="289">
        <f>SUM(Z6:Z9)</f>
        <v>59117</v>
      </c>
      <c r="AA10" s="289">
        <f>SUM(AA6:AA9)</f>
        <v>57685</v>
      </c>
      <c r="AB10" s="289">
        <f>SUM(AB6:AB9)</f>
        <v>48498</v>
      </c>
      <c r="AC10" s="145">
        <f t="shared" si="8"/>
        <v>180653</v>
      </c>
      <c r="AD10" s="145">
        <f t="shared" si="0"/>
        <v>105902</v>
      </c>
      <c r="AE10" s="145">
        <f t="shared" si="0"/>
        <v>135109</v>
      </c>
      <c r="AF10" s="50">
        <f t="shared" si="9"/>
        <v>-0.1592615064574846</v>
      </c>
      <c r="AG10" s="50"/>
      <c r="AH10" s="3"/>
      <c r="AI10" s="3"/>
      <c r="AJ10" s="50"/>
      <c r="AK10" s="50"/>
      <c r="AL10" s="3"/>
      <c r="AM10" s="3"/>
      <c r="AN10" s="50"/>
      <c r="AO10" s="50"/>
      <c r="AP10" s="227"/>
      <c r="AQ10" s="3"/>
      <c r="AR10" s="145"/>
      <c r="AS10" s="145"/>
      <c r="AT10" s="145"/>
      <c r="AU10" s="50"/>
      <c r="AV10" s="50"/>
      <c r="AW10" s="227"/>
      <c r="AX10" s="3"/>
      <c r="AY10" s="50"/>
      <c r="AZ10" s="50"/>
      <c r="BA10" s="227"/>
      <c r="BB10" s="3"/>
      <c r="BC10" s="50"/>
      <c r="BD10" s="50"/>
      <c r="BE10" s="3"/>
      <c r="BF10" s="3"/>
      <c r="BG10" s="145"/>
      <c r="BH10" s="145"/>
      <c r="BI10" s="145"/>
      <c r="BJ10" s="50"/>
      <c r="BK10" s="3">
        <f>SUM(D10,H10,L10,S10,W10,AA10,AH10,AL10,AP10,AW10,BA10,BE10)</f>
        <v>254994</v>
      </c>
      <c r="BL10" s="3">
        <f>SUM(E10,I10,M10,T10,X10,AB10,AI10,AM10,AQ10,AX10,BB10,BF10)</f>
        <v>279209</v>
      </c>
      <c r="BM10" s="14">
        <f>(BL10-BK10)/BK10</f>
        <v>9.496301873769579E-2</v>
      </c>
      <c r="BO10" s="21"/>
      <c r="BP10" s="20"/>
    </row>
    <row r="12" spans="2:68">
      <c r="B12" s="21" t="s">
        <v>47</v>
      </c>
      <c r="D12" s="67" t="s">
        <v>106</v>
      </c>
      <c r="AL12" s="51"/>
      <c r="AM12" s="51"/>
      <c r="AN12" s="51"/>
    </row>
    <row r="13" spans="2:68">
      <c r="AJ13" s="22"/>
      <c r="AK13" s="63"/>
      <c r="AL13" s="51"/>
      <c r="AM13" s="51"/>
      <c r="AN13" s="51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K13" s="142"/>
      <c r="BL13" s="142"/>
    </row>
    <row r="14" spans="2:68">
      <c r="B14" s="22"/>
      <c r="C14" s="63"/>
      <c r="D14" s="22"/>
      <c r="E14" s="22"/>
      <c r="F14" s="22"/>
      <c r="G14" s="63"/>
      <c r="H14" s="22"/>
      <c r="AL14" s="51"/>
      <c r="AM14" s="51"/>
      <c r="AN14" s="51"/>
    </row>
    <row r="15" spans="2:68">
      <c r="AJ15" s="23"/>
      <c r="AK15" s="142"/>
      <c r="AL15" s="51"/>
      <c r="AM15" s="51"/>
      <c r="AN15" s="51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8">
      <c r="D16" s="23"/>
      <c r="E16" s="23"/>
      <c r="F16" s="23"/>
      <c r="G16" s="142"/>
      <c r="H16" s="23"/>
      <c r="I16" s="23"/>
      <c r="AJ16" s="23"/>
      <c r="AK16" s="142"/>
      <c r="AL16" s="51"/>
      <c r="AM16" s="51"/>
      <c r="AN16" s="51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K4:BL4"/>
    <mergeCell ref="BM4:BM5"/>
    <mergeCell ref="BG4:BI4"/>
  </mergeCells>
  <hyperlinks>
    <hyperlink ref="D12" r:id="rId1" xr:uid="{66F3C9D7-5938-45C2-B17A-0C87D8C0F9BB}"/>
  </hyperlinks>
  <pageMargins left="0.7" right="0.7" top="0.78740157499999996" bottom="0.78740157499999996" header="0.3" footer="0.3"/>
  <pageSetup paperSize="9" orientation="portrait" verticalDpi="0" r:id="rId2"/>
  <ignoredErrors>
    <ignoredError sqref="C10:E10 G10 K10 R10:T10 V10:X10 Z10:AB10" formulaRange="1"/>
    <ignoredError sqref="F10 J10 Q10 U10 Y10" formula="1"/>
    <ignoredError sqref="H10:I10 L10:M10" formula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7F5F-702E-4D63-90A9-70741E257338}">
  <dimension ref="A1:BQ25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27.28515625" style="21" customWidth="1"/>
    <col min="3" max="3" width="8.28515625" style="51" customWidth="1"/>
    <col min="4" max="4" width="11.5703125" style="21" customWidth="1"/>
    <col min="5" max="5" width="10.85546875" style="21" customWidth="1"/>
    <col min="6" max="6" width="10.140625" style="29" customWidth="1"/>
    <col min="7" max="7" width="7.42578125" style="29" bestFit="1" customWidth="1"/>
    <col min="8" max="8" width="8" style="21" bestFit="1" customWidth="1"/>
    <col min="9" max="9" width="9.7109375" style="21" customWidth="1"/>
    <col min="10" max="10" width="10.5703125" style="29" customWidth="1"/>
    <col min="11" max="11" width="9.42578125" style="29" customWidth="1"/>
    <col min="12" max="12" width="8" style="21" bestFit="1" customWidth="1"/>
    <col min="13" max="13" width="8.42578125" style="21" customWidth="1"/>
    <col min="14" max="14" width="8.5703125" style="51" customWidth="1"/>
    <col min="15" max="15" width="8" style="51" customWidth="1"/>
    <col min="16" max="16" width="9.42578125" style="51" customWidth="1"/>
    <col min="17" max="17" width="9.85546875" style="29" customWidth="1"/>
    <col min="18" max="18" width="11" style="29" customWidth="1"/>
    <col min="19" max="19" width="9.5703125" style="21" customWidth="1"/>
    <col min="20" max="20" width="9.42578125" style="21" customWidth="1"/>
    <col min="21" max="21" width="10.7109375" style="29" bestFit="1" customWidth="1"/>
    <col min="22" max="22" width="11.140625" style="29" customWidth="1"/>
    <col min="23" max="23" width="9.5703125" style="21" customWidth="1"/>
    <col min="24" max="24" width="9.42578125" style="21" customWidth="1"/>
    <col min="25" max="25" width="10.28515625" style="29" customWidth="1"/>
    <col min="26" max="26" width="9.85546875" style="29" customWidth="1"/>
    <col min="27" max="27" width="10" style="21" customWidth="1"/>
    <col min="28" max="28" width="10.140625" style="21" customWidth="1"/>
    <col min="29" max="30" width="8.85546875" style="51" customWidth="1"/>
    <col min="31" max="31" width="10.28515625" style="51" customWidth="1"/>
    <col min="32" max="32" width="10.7109375" style="29" bestFit="1" customWidth="1"/>
    <col min="33" max="33" width="8.5703125" style="29" customWidth="1"/>
    <col min="34" max="34" width="9.28515625" style="21" customWidth="1"/>
    <col min="35" max="35" width="9.7109375" style="21" customWidth="1"/>
    <col min="36" max="36" width="10.7109375" style="29" bestFit="1" customWidth="1"/>
    <col min="37" max="37" width="8.85546875" style="29" customWidth="1"/>
    <col min="38" max="38" width="9.140625" style="21" customWidth="1"/>
    <col min="39" max="39" width="9.42578125" style="21" customWidth="1"/>
    <col min="40" max="40" width="10.7109375" style="29" customWidth="1"/>
    <col min="41" max="41" width="9" style="29" customWidth="1"/>
    <col min="42" max="43" width="11.42578125" style="21"/>
    <col min="44" max="46" width="11.42578125" style="51"/>
    <col min="47" max="47" width="10.7109375" style="29" bestFit="1" customWidth="1"/>
    <col min="48" max="48" width="10.7109375" style="29" customWidth="1"/>
    <col min="49" max="50" width="11.42578125" style="21"/>
    <col min="51" max="51" width="10.7109375" style="29" bestFit="1" customWidth="1"/>
    <col min="52" max="52" width="9.7109375" style="29" customWidth="1"/>
    <col min="53" max="54" width="11.42578125" style="21"/>
    <col min="55" max="55" width="10.7109375" style="29" bestFit="1" customWidth="1"/>
    <col min="56" max="56" width="10.7109375" style="29" customWidth="1"/>
    <col min="57" max="58" width="11.42578125" style="21"/>
    <col min="59" max="61" width="11.42578125" style="51"/>
    <col min="62" max="62" width="10.7109375" style="29" bestFit="1" customWidth="1"/>
    <col min="63" max="63" width="10.7109375" style="29" customWidth="1"/>
    <col min="64" max="16384" width="11.42578125" style="21"/>
  </cols>
  <sheetData>
    <row r="1" spans="2:69">
      <c r="B1" s="9" t="s">
        <v>34</v>
      </c>
      <c r="C1" s="57"/>
    </row>
    <row r="2" spans="2:69">
      <c r="AB2" s="23"/>
      <c r="AC2" s="142"/>
      <c r="AD2" s="142"/>
      <c r="AE2" s="142"/>
    </row>
    <row r="4" spans="2:69" ht="45">
      <c r="B4" s="10"/>
      <c r="C4" s="371" t="s">
        <v>8</v>
      </c>
      <c r="D4" s="370"/>
      <c r="E4" s="372"/>
      <c r="F4" s="16" t="s">
        <v>29</v>
      </c>
      <c r="G4" s="374" t="s">
        <v>9</v>
      </c>
      <c r="H4" s="366"/>
      <c r="I4" s="373"/>
      <c r="J4" s="182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16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4" t="s">
        <v>129</v>
      </c>
    </row>
    <row r="5" spans="2:69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58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3"/>
      <c r="BP5" s="51"/>
    </row>
    <row r="6" spans="2:69">
      <c r="B6" s="248" t="s">
        <v>87</v>
      </c>
      <c r="C6" s="53">
        <v>163793</v>
      </c>
      <c r="D6" s="189">
        <v>141860</v>
      </c>
      <c r="E6" s="71">
        <v>122673</v>
      </c>
      <c r="F6" s="201">
        <f>(E6-D6)/D6</f>
        <v>-0.13525306640349641</v>
      </c>
      <c r="G6" s="53">
        <v>162538</v>
      </c>
      <c r="H6" s="71">
        <v>153332</v>
      </c>
      <c r="I6" s="71">
        <v>120789</v>
      </c>
      <c r="J6" s="201">
        <f>(I6-H6)/H6</f>
        <v>-0.21223880207653981</v>
      </c>
      <c r="K6" s="53">
        <v>170487</v>
      </c>
      <c r="L6" s="71">
        <v>122212</v>
      </c>
      <c r="M6" s="336">
        <v>133252</v>
      </c>
      <c r="N6" s="53">
        <f>SUM(C6,G6,K6)</f>
        <v>496818</v>
      </c>
      <c r="O6" s="53">
        <f>SUM(D6,H6,L6)</f>
        <v>417404</v>
      </c>
      <c r="P6" s="53">
        <f>SUM(E6,I6,M6)</f>
        <v>376714</v>
      </c>
      <c r="Q6" s="225">
        <f>(M6-L6)/L6</f>
        <v>9.0334828003796677E-2</v>
      </c>
      <c r="R6" s="53">
        <v>189097</v>
      </c>
      <c r="S6" s="71">
        <v>35847</v>
      </c>
      <c r="T6" s="71">
        <v>118823</v>
      </c>
      <c r="U6" s="93">
        <f>(T6-S6)/S6</f>
        <v>2.314726476413647</v>
      </c>
      <c r="V6" s="53">
        <v>198776</v>
      </c>
      <c r="W6" s="53">
        <v>39275</v>
      </c>
      <c r="X6" s="31">
        <v>132261</v>
      </c>
      <c r="Y6" s="93">
        <f>(X6-W6)/W6</f>
        <v>2.3675620623806495</v>
      </c>
      <c r="Z6" s="53">
        <v>181297</v>
      </c>
      <c r="AA6" s="53">
        <v>92067</v>
      </c>
      <c r="AB6" s="31">
        <v>133332</v>
      </c>
      <c r="AC6" s="53">
        <f>SUM(R6,V6,Z6)</f>
        <v>569170</v>
      </c>
      <c r="AD6" s="53">
        <f t="shared" ref="AD6:AE10" si="0">SUM(S6,W6,AA6)</f>
        <v>167189</v>
      </c>
      <c r="AE6" s="53">
        <f t="shared" si="0"/>
        <v>384416</v>
      </c>
      <c r="AF6" s="93">
        <f>(AB6-AA6)/AA6</f>
        <v>0.44820619766039949</v>
      </c>
      <c r="AG6" s="93"/>
      <c r="AH6" s="31"/>
      <c r="AI6" s="53"/>
      <c r="AJ6" s="93"/>
      <c r="AK6" s="93"/>
      <c r="AL6" s="31"/>
      <c r="AM6" s="53"/>
      <c r="AN6" s="93"/>
      <c r="AO6" s="93"/>
      <c r="AP6" s="31"/>
      <c r="AQ6" s="53"/>
      <c r="AR6" s="53"/>
      <c r="AS6" s="53"/>
      <c r="AT6" s="53"/>
      <c r="AU6" s="93"/>
      <c r="AV6" s="93"/>
      <c r="AW6" s="31"/>
      <c r="AX6" s="53"/>
      <c r="AY6" s="93"/>
      <c r="AZ6" s="93"/>
      <c r="BA6" s="31"/>
      <c r="BB6" s="53"/>
      <c r="BC6" s="93"/>
      <c r="BD6" s="93"/>
      <c r="BE6" s="35"/>
      <c r="BF6" s="53"/>
      <c r="BG6" s="53"/>
      <c r="BH6" s="53"/>
      <c r="BI6" s="53"/>
      <c r="BJ6" s="93"/>
      <c r="BK6" s="145">
        <f>SUM(C6,G6,K6,R6,V6,Z6,AG6,AK6,AO6,AV6,AZ6,BD6)</f>
        <v>1065988</v>
      </c>
      <c r="BL6" s="54">
        <f>SUM(D6,H6,L6,S6,W6,AA6,AH6,AL6,AP6,AW6,BA6,BE6)</f>
        <v>584593</v>
      </c>
      <c r="BM6" s="145">
        <f>SUM(E6,I6,M6,T6,X6,AB6,AI6,AM6,AQ6,AX6,BB6,BF6)</f>
        <v>761130</v>
      </c>
      <c r="BN6" s="32">
        <f>(BM6-BL6)/BL6</f>
        <v>0.30198274697096955</v>
      </c>
      <c r="BP6" s="51"/>
    </row>
    <row r="7" spans="2:69">
      <c r="B7" s="248" t="s">
        <v>89</v>
      </c>
      <c r="C7" s="53">
        <v>27416</v>
      </c>
      <c r="D7" s="189">
        <v>20997</v>
      </c>
      <c r="E7" s="71">
        <v>24310</v>
      </c>
      <c r="F7" s="201">
        <f>(E7-D7)/D7</f>
        <v>0.15778444539696146</v>
      </c>
      <c r="G7" s="53">
        <v>27735</v>
      </c>
      <c r="H7" s="71">
        <v>19151</v>
      </c>
      <c r="I7" s="71">
        <v>24351</v>
      </c>
      <c r="J7" s="201">
        <f t="shared" ref="J7:J10" si="1">(I7-H7)/H7</f>
        <v>0.27152629105529735</v>
      </c>
      <c r="K7" s="53">
        <v>29487</v>
      </c>
      <c r="L7" s="71">
        <v>17085</v>
      </c>
      <c r="M7" s="336">
        <v>27257</v>
      </c>
      <c r="N7" s="53">
        <f t="shared" ref="N7:N9" si="2">SUM(C7,G7,K7)</f>
        <v>84638</v>
      </c>
      <c r="O7" s="53">
        <f t="shared" ref="O7:O9" si="3">SUM(D7,H7,L7)</f>
        <v>57233</v>
      </c>
      <c r="P7" s="53">
        <f t="shared" ref="P7:P9" si="4">SUM(E7,I7,M7)</f>
        <v>75918</v>
      </c>
      <c r="Q7" s="225">
        <f t="shared" ref="Q7:Q10" si="5">(M7-L7)/L7</f>
        <v>0.59537606087211004</v>
      </c>
      <c r="R7" s="53">
        <v>32626</v>
      </c>
      <c r="S7" s="71">
        <v>7402</v>
      </c>
      <c r="T7" s="71">
        <v>28559</v>
      </c>
      <c r="U7" s="93">
        <f t="shared" ref="U7:U10" si="6">(T7-S7)/S7</f>
        <v>2.8582815455282358</v>
      </c>
      <c r="V7" s="53">
        <v>35823</v>
      </c>
      <c r="W7" s="53">
        <v>7862</v>
      </c>
      <c r="X7" s="31">
        <v>24404</v>
      </c>
      <c r="Y7" s="93">
        <f t="shared" ref="Y7:Y10" si="7">(X7-W7)/W7</f>
        <v>2.1040447723225641</v>
      </c>
      <c r="Z7" s="53">
        <v>32698</v>
      </c>
      <c r="AA7" s="53">
        <v>14071</v>
      </c>
      <c r="AB7" s="31">
        <v>36319</v>
      </c>
      <c r="AC7" s="53">
        <f t="shared" ref="AC7:AC10" si="8">SUM(R7,V7,Z7)</f>
        <v>101147</v>
      </c>
      <c r="AD7" s="53">
        <f t="shared" si="0"/>
        <v>29335</v>
      </c>
      <c r="AE7" s="53">
        <f t="shared" si="0"/>
        <v>89282</v>
      </c>
      <c r="AF7" s="93">
        <f t="shared" ref="AF7:AF10" si="9">(AB7-AA7)/AA7</f>
        <v>1.5811242982019758</v>
      </c>
      <c r="AG7" s="93"/>
      <c r="AH7" s="31"/>
      <c r="AI7" s="53"/>
      <c r="AJ7" s="93"/>
      <c r="AK7" s="93"/>
      <c r="AL7" s="31"/>
      <c r="AM7" s="53"/>
      <c r="AN7" s="93"/>
      <c r="AO7" s="93"/>
      <c r="AP7" s="31"/>
      <c r="AQ7" s="53"/>
      <c r="AR7" s="53"/>
      <c r="AS7" s="53"/>
      <c r="AT7" s="53"/>
      <c r="AU7" s="93"/>
      <c r="AV7" s="93"/>
      <c r="AW7" s="31"/>
      <c r="AX7" s="53"/>
      <c r="AY7" s="93"/>
      <c r="AZ7" s="93"/>
      <c r="BA7" s="31"/>
      <c r="BB7" s="53"/>
      <c r="BC7" s="93"/>
      <c r="BD7" s="93"/>
      <c r="BE7" s="35"/>
      <c r="BF7" s="53"/>
      <c r="BG7" s="53"/>
      <c r="BH7" s="53"/>
      <c r="BI7" s="53"/>
      <c r="BJ7" s="93"/>
      <c r="BK7" s="145">
        <f t="shared" ref="BK7:BK10" si="10">SUM(C7,G7,K7,R7,V7,Z7,AG7,AK7,AO7,AV7,AZ7,BD7)</f>
        <v>185785</v>
      </c>
      <c r="BL7" s="145">
        <f t="shared" ref="BL7:BL9" si="11">SUM(D7,H7,L7,S7,W7,AA7,AH7,AL7,AP7,AW7,BA7,BE7)</f>
        <v>86568</v>
      </c>
      <c r="BM7" s="145">
        <f t="shared" ref="BM7:BM9" si="12">SUM(E7,I7,M7,T7,X7,AB7,AI7,AM7,AQ7,AX7,BB7,BF7)</f>
        <v>165200</v>
      </c>
      <c r="BN7" s="32">
        <f>(BM7-BL7)/BL7</f>
        <v>0.90832640236577022</v>
      </c>
      <c r="BP7" s="51"/>
    </row>
    <row r="8" spans="2:69">
      <c r="B8" s="248" t="s">
        <v>91</v>
      </c>
      <c r="C8" s="53">
        <v>6987</v>
      </c>
      <c r="D8" s="189">
        <v>6806</v>
      </c>
      <c r="E8" s="71">
        <v>6974</v>
      </c>
      <c r="F8" s="201">
        <f>(E8-D8)/D8</f>
        <v>2.4684102262709375E-2</v>
      </c>
      <c r="G8" s="53">
        <v>6876</v>
      </c>
      <c r="H8" s="71">
        <v>6156</v>
      </c>
      <c r="I8" s="71">
        <v>7392</v>
      </c>
      <c r="J8" s="201">
        <f t="shared" si="1"/>
        <v>0.20077972709551656</v>
      </c>
      <c r="K8" s="53">
        <v>7601</v>
      </c>
      <c r="L8" s="71">
        <v>6280</v>
      </c>
      <c r="M8" s="336">
        <v>10335</v>
      </c>
      <c r="N8" s="53">
        <f t="shared" si="2"/>
        <v>21464</v>
      </c>
      <c r="O8" s="53">
        <f t="shared" si="3"/>
        <v>19242</v>
      </c>
      <c r="P8" s="53">
        <f t="shared" si="4"/>
        <v>24701</v>
      </c>
      <c r="Q8" s="225">
        <f t="shared" si="5"/>
        <v>0.64570063694267521</v>
      </c>
      <c r="R8" s="53">
        <v>8502</v>
      </c>
      <c r="S8" s="71">
        <v>3799</v>
      </c>
      <c r="T8" s="71">
        <v>9420</v>
      </c>
      <c r="U8" s="93">
        <f t="shared" si="6"/>
        <v>1.479599894709134</v>
      </c>
      <c r="V8" s="53">
        <v>9128</v>
      </c>
      <c r="W8" s="53">
        <v>4593</v>
      </c>
      <c r="X8" s="31">
        <v>10965</v>
      </c>
      <c r="Y8" s="93">
        <f t="shared" si="7"/>
        <v>1.387328543435663</v>
      </c>
      <c r="Z8" s="53">
        <v>7688</v>
      </c>
      <c r="AA8" s="52">
        <v>8519</v>
      </c>
      <c r="AB8" s="31">
        <v>11372</v>
      </c>
      <c r="AC8" s="53">
        <f t="shared" si="8"/>
        <v>25318</v>
      </c>
      <c r="AD8" s="53">
        <f t="shared" si="0"/>
        <v>16911</v>
      </c>
      <c r="AE8" s="53">
        <f t="shared" si="0"/>
        <v>31757</v>
      </c>
      <c r="AF8" s="93">
        <f t="shared" si="9"/>
        <v>0.33489846226082876</v>
      </c>
      <c r="AG8" s="93"/>
      <c r="AH8" s="31"/>
      <c r="AI8" s="53"/>
      <c r="AJ8" s="93"/>
      <c r="AK8" s="93"/>
      <c r="AL8" s="31"/>
      <c r="AM8" s="53"/>
      <c r="AN8" s="93"/>
      <c r="AO8" s="93"/>
      <c r="AP8" s="31"/>
      <c r="AQ8" s="53"/>
      <c r="AR8" s="53"/>
      <c r="AS8" s="53"/>
      <c r="AT8" s="53"/>
      <c r="AU8" s="93"/>
      <c r="AV8" s="93"/>
      <c r="AW8" s="31"/>
      <c r="AX8" s="53"/>
      <c r="AY8" s="93"/>
      <c r="AZ8" s="93"/>
      <c r="BA8" s="31"/>
      <c r="BB8" s="53"/>
      <c r="BC8" s="93"/>
      <c r="BD8" s="93"/>
      <c r="BE8" s="35"/>
      <c r="BF8" s="53"/>
      <c r="BG8" s="53"/>
      <c r="BH8" s="53"/>
      <c r="BI8" s="53"/>
      <c r="BJ8" s="93"/>
      <c r="BK8" s="145">
        <f t="shared" si="10"/>
        <v>46782</v>
      </c>
      <c r="BL8" s="145">
        <f t="shared" si="11"/>
        <v>36153</v>
      </c>
      <c r="BM8" s="145">
        <f t="shared" si="12"/>
        <v>56458</v>
      </c>
      <c r="BN8" s="32">
        <f>(BM8-BL8)/BL8</f>
        <v>0.56164080435925101</v>
      </c>
      <c r="BP8" s="51"/>
    </row>
    <row r="9" spans="2:69">
      <c r="B9" s="248" t="s">
        <v>93</v>
      </c>
      <c r="C9" s="53">
        <v>1598</v>
      </c>
      <c r="D9" s="189">
        <v>1492</v>
      </c>
      <c r="E9" s="71">
        <v>1029</v>
      </c>
      <c r="F9" s="201">
        <f>(E9-D9)/D9</f>
        <v>-0.31032171581769435</v>
      </c>
      <c r="G9" s="53">
        <v>1492</v>
      </c>
      <c r="H9" s="71">
        <v>1286</v>
      </c>
      <c r="I9" s="71">
        <v>1122</v>
      </c>
      <c r="J9" s="201">
        <f t="shared" si="1"/>
        <v>-0.12752721617418353</v>
      </c>
      <c r="K9" s="53">
        <v>1590</v>
      </c>
      <c r="L9" s="71">
        <v>883</v>
      </c>
      <c r="M9" s="336">
        <v>1180</v>
      </c>
      <c r="N9" s="53">
        <f t="shared" si="2"/>
        <v>4680</v>
      </c>
      <c r="O9" s="53">
        <f t="shared" si="3"/>
        <v>3661</v>
      </c>
      <c r="P9" s="53">
        <f t="shared" si="4"/>
        <v>3331</v>
      </c>
      <c r="Q9" s="225">
        <f t="shared" si="5"/>
        <v>0.33635334088335223</v>
      </c>
      <c r="R9" s="53">
        <v>1711</v>
      </c>
      <c r="S9" s="71">
        <v>320</v>
      </c>
      <c r="T9" s="71">
        <v>1174</v>
      </c>
      <c r="U9" s="93">
        <f t="shared" si="6"/>
        <v>2.6687500000000002</v>
      </c>
      <c r="V9" s="53">
        <v>1713</v>
      </c>
      <c r="W9" s="53">
        <v>663</v>
      </c>
      <c r="X9" s="31">
        <v>1607</v>
      </c>
      <c r="Y9" s="93">
        <f t="shared" si="7"/>
        <v>1.4238310708898945</v>
      </c>
      <c r="Z9" s="53">
        <v>1515</v>
      </c>
      <c r="AA9" s="52">
        <v>1069</v>
      </c>
      <c r="AB9" s="31">
        <v>1430</v>
      </c>
      <c r="AC9" s="53">
        <f t="shared" si="8"/>
        <v>4939</v>
      </c>
      <c r="AD9" s="53">
        <f t="shared" si="0"/>
        <v>2052</v>
      </c>
      <c r="AE9" s="53">
        <f t="shared" si="0"/>
        <v>4211</v>
      </c>
      <c r="AF9" s="93">
        <f t="shared" si="9"/>
        <v>0.33769878391019642</v>
      </c>
      <c r="AG9" s="93"/>
      <c r="AH9" s="10"/>
      <c r="AI9" s="53"/>
      <c r="AJ9" s="93"/>
      <c r="AK9" s="93"/>
      <c r="AL9" s="31"/>
      <c r="AM9" s="53"/>
      <c r="AN9" s="93"/>
      <c r="AO9" s="196"/>
      <c r="AP9" s="53"/>
      <c r="AQ9" s="191"/>
      <c r="AR9" s="191"/>
      <c r="AS9" s="191"/>
      <c r="AT9" s="191"/>
      <c r="AU9" s="93"/>
      <c r="AV9" s="196"/>
      <c r="AW9" s="53"/>
      <c r="AX9" s="191"/>
      <c r="AY9" s="93"/>
      <c r="AZ9" s="196"/>
      <c r="BA9" s="53"/>
      <c r="BB9" s="191"/>
      <c r="BC9" s="93"/>
      <c r="BD9" s="93"/>
      <c r="BE9" s="35"/>
      <c r="BF9" s="53"/>
      <c r="BG9" s="53"/>
      <c r="BH9" s="53"/>
      <c r="BI9" s="53"/>
      <c r="BJ9" s="93"/>
      <c r="BK9" s="145">
        <f t="shared" si="10"/>
        <v>9619</v>
      </c>
      <c r="BL9" s="145">
        <f t="shared" si="11"/>
        <v>5713</v>
      </c>
      <c r="BM9" s="145">
        <f t="shared" si="12"/>
        <v>7542</v>
      </c>
      <c r="BN9" s="32">
        <f>(BM9-BL9)/BL9</f>
        <v>0.32014703308244358</v>
      </c>
      <c r="BP9" s="51"/>
    </row>
    <row r="10" spans="2:69" s="9" customFormat="1">
      <c r="B10" s="249" t="s">
        <v>7</v>
      </c>
      <c r="C10" s="187">
        <f>SUM(C6:C9)</f>
        <v>199794</v>
      </c>
      <c r="D10" s="187">
        <f>SUM(D6:D9)</f>
        <v>171155</v>
      </c>
      <c r="E10" s="15">
        <f>SUM(E6:E9)</f>
        <v>154986</v>
      </c>
      <c r="F10" s="50">
        <f>(E10-D10)/D10</f>
        <v>-9.4469924921854465E-2</v>
      </c>
      <c r="G10" s="145">
        <f>SUM(G6:G9)</f>
        <v>198641</v>
      </c>
      <c r="H10" s="15">
        <f>SUM(H6:H9)</f>
        <v>179925</v>
      </c>
      <c r="I10" s="15">
        <f>SUM(I6:I9)</f>
        <v>153654</v>
      </c>
      <c r="J10" s="201">
        <f t="shared" si="1"/>
        <v>-0.14601083784910379</v>
      </c>
      <c r="K10" s="145">
        <f>SUM(K6:K9)</f>
        <v>209165</v>
      </c>
      <c r="L10" s="15">
        <f>SUM(L6:L9)</f>
        <v>146460</v>
      </c>
      <c r="M10" s="15">
        <f>SUM(M6:M9)</f>
        <v>172024</v>
      </c>
      <c r="N10" s="227">
        <f>SUM(N6:N9)</f>
        <v>607600</v>
      </c>
      <c r="O10" s="227">
        <f t="shared" ref="O10:P10" si="13">SUM(O6:O9)</f>
        <v>497540</v>
      </c>
      <c r="P10" s="227">
        <f t="shared" si="13"/>
        <v>480664</v>
      </c>
      <c r="Q10" s="223">
        <f t="shared" si="5"/>
        <v>0.17454595111293186</v>
      </c>
      <c r="R10" s="289">
        <f>SUM(R6:R9)</f>
        <v>231936</v>
      </c>
      <c r="S10" s="15">
        <f>SUM(S6:S9)</f>
        <v>47368</v>
      </c>
      <c r="T10" s="145">
        <f>SUM(T6:T9)</f>
        <v>157976</v>
      </c>
      <c r="U10" s="93">
        <f t="shared" si="6"/>
        <v>2.3350785340314135</v>
      </c>
      <c r="V10" s="289">
        <f>SUM(V6:V9)</f>
        <v>245440</v>
      </c>
      <c r="W10" s="15">
        <f>SUM(W6:W9)</f>
        <v>52393</v>
      </c>
      <c r="X10" s="145">
        <f>SUM(X6:X9)</f>
        <v>169237</v>
      </c>
      <c r="Y10" s="93">
        <f t="shared" si="7"/>
        <v>2.2301452484110471</v>
      </c>
      <c r="Z10" s="332">
        <f>SUM(Z6:Z9)</f>
        <v>223198</v>
      </c>
      <c r="AA10" s="15">
        <f>SUM(AA6:AA9)</f>
        <v>115726</v>
      </c>
      <c r="AB10" s="145">
        <f>SUM(AB6:AB9)</f>
        <v>182453</v>
      </c>
      <c r="AC10" s="145">
        <f t="shared" si="8"/>
        <v>700574</v>
      </c>
      <c r="AD10" s="145">
        <f t="shared" si="0"/>
        <v>215487</v>
      </c>
      <c r="AE10" s="145">
        <f t="shared" si="0"/>
        <v>509666</v>
      </c>
      <c r="AF10" s="50">
        <f t="shared" si="9"/>
        <v>0.57659471510291549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145">
        <f t="shared" si="10"/>
        <v>1308174</v>
      </c>
      <c r="BL10" s="15">
        <f>SUM(D10,H10,L10,S10,W10,AA10,AH10,AL10,AP10,AW10,BA10,BE10)</f>
        <v>713027</v>
      </c>
      <c r="BM10" s="145">
        <f>SUM(E10,I10,M10,T10,X10,AB10,AI10,AM10,AQ10,AX10,BB10,BF10)</f>
        <v>990330</v>
      </c>
      <c r="BN10" s="30">
        <f>(BM10-BL10)/BL10</f>
        <v>0.38890953638501768</v>
      </c>
      <c r="BP10" s="51"/>
      <c r="BQ10" s="20"/>
    </row>
    <row r="11" spans="2:69">
      <c r="BP11" s="51"/>
    </row>
    <row r="12" spans="2:69">
      <c r="B12" s="21" t="s">
        <v>107</v>
      </c>
      <c r="D12" s="21" t="s">
        <v>108</v>
      </c>
      <c r="L12" s="51"/>
      <c r="BM12" s="51"/>
      <c r="BP12" s="51"/>
    </row>
    <row r="13" spans="2:69">
      <c r="T13" s="20"/>
      <c r="U13" s="23"/>
      <c r="V13" s="142"/>
      <c r="W13" s="23"/>
      <c r="X13" s="20"/>
      <c r="Y13" s="23"/>
      <c r="Z13" s="142"/>
      <c r="AA13" s="23"/>
      <c r="AB13" s="20"/>
      <c r="AC13" s="62"/>
      <c r="AD13" s="62"/>
      <c r="AE13" s="62"/>
      <c r="AF13" s="23"/>
      <c r="AG13" s="142"/>
      <c r="AH13" s="23"/>
      <c r="AI13" s="20"/>
      <c r="AJ13" s="21"/>
      <c r="AK13" s="51"/>
      <c r="AM13" s="20"/>
      <c r="AN13" s="21"/>
      <c r="AO13" s="51"/>
      <c r="BL13" s="142"/>
      <c r="BM13" s="142"/>
      <c r="BP13" s="51"/>
    </row>
    <row r="14" spans="2:69">
      <c r="B14" s="92" t="s">
        <v>88</v>
      </c>
      <c r="C14" s="92"/>
      <c r="D14" s="22"/>
      <c r="E14" s="22"/>
      <c r="F14" s="37"/>
      <c r="G14" s="37"/>
      <c r="H14" s="22"/>
      <c r="I14" s="22"/>
      <c r="J14" s="37"/>
      <c r="K14" s="37"/>
      <c r="Q14" s="37"/>
      <c r="R14" s="37"/>
      <c r="T14" s="20"/>
      <c r="U14" s="23"/>
      <c r="V14" s="142"/>
      <c r="W14" s="23"/>
      <c r="X14" s="20"/>
      <c r="Y14" s="23"/>
      <c r="Z14" s="142"/>
      <c r="AA14" s="23"/>
      <c r="AB14" s="20"/>
      <c r="AC14" s="62"/>
      <c r="AD14" s="62"/>
      <c r="AE14" s="62"/>
      <c r="AF14" s="23"/>
      <c r="AG14" s="142"/>
      <c r="AH14" s="23"/>
      <c r="AI14" s="20"/>
      <c r="AJ14" s="21"/>
      <c r="AK14" s="51"/>
      <c r="AM14" s="20"/>
      <c r="AN14" s="21"/>
      <c r="AO14" s="51"/>
      <c r="BJ14" s="37"/>
      <c r="BK14" s="37"/>
      <c r="BM14" s="51"/>
    </row>
    <row r="15" spans="2:69">
      <c r="B15" s="92" t="s">
        <v>90</v>
      </c>
      <c r="C15" s="92"/>
      <c r="T15" s="20"/>
      <c r="U15" s="23"/>
      <c r="V15" s="142"/>
      <c r="W15" s="23"/>
      <c r="X15" s="20"/>
      <c r="Y15" s="23"/>
      <c r="Z15" s="142"/>
      <c r="AA15" s="23"/>
      <c r="AB15" s="20"/>
      <c r="AC15" s="62"/>
      <c r="AD15" s="62"/>
      <c r="AE15" s="62"/>
      <c r="AF15" s="23"/>
      <c r="AG15" s="142"/>
      <c r="AH15" s="23"/>
      <c r="AI15" s="20"/>
      <c r="AJ15" s="21"/>
      <c r="AK15" s="51"/>
      <c r="AM15" s="20"/>
      <c r="AN15" s="21"/>
      <c r="AO15" s="51"/>
      <c r="BM15" s="51"/>
    </row>
    <row r="16" spans="2:69">
      <c r="B16" s="92" t="s">
        <v>92</v>
      </c>
      <c r="C16" s="92"/>
      <c r="D16" s="23"/>
      <c r="E16" s="23"/>
      <c r="F16" s="20"/>
      <c r="G16" s="62"/>
      <c r="H16" s="23"/>
      <c r="I16" s="23"/>
      <c r="J16" s="20"/>
      <c r="K16" s="62"/>
      <c r="Q16" s="20"/>
      <c r="R16" s="62"/>
      <c r="T16" s="20"/>
      <c r="U16" s="23"/>
      <c r="V16" s="142"/>
      <c r="W16" s="23"/>
      <c r="X16" s="20"/>
      <c r="Y16" s="23"/>
      <c r="Z16" s="142"/>
      <c r="AA16" s="23"/>
      <c r="AB16" s="20"/>
      <c r="AC16" s="62"/>
      <c r="AD16" s="62"/>
      <c r="AE16" s="62"/>
      <c r="AF16" s="23"/>
      <c r="AG16" s="142"/>
      <c r="AH16" s="23"/>
      <c r="AI16" s="20"/>
      <c r="AJ16" s="21"/>
      <c r="AK16" s="51"/>
      <c r="AM16" s="20"/>
      <c r="AN16" s="21"/>
      <c r="AO16" s="51"/>
      <c r="BJ16" s="20"/>
      <c r="BK16" s="62"/>
      <c r="BM16" s="51"/>
    </row>
    <row r="17" spans="2:65">
      <c r="B17" s="92" t="s">
        <v>94</v>
      </c>
      <c r="C17" s="92"/>
      <c r="D17" s="23"/>
      <c r="E17" s="23"/>
      <c r="F17" s="20"/>
      <c r="G17" s="62"/>
      <c r="H17" s="23"/>
      <c r="I17" s="23"/>
      <c r="J17" s="20"/>
      <c r="K17" s="62"/>
      <c r="Q17" s="20"/>
      <c r="R17" s="62"/>
      <c r="T17" s="20"/>
      <c r="U17" s="21"/>
      <c r="V17" s="51"/>
      <c r="X17" s="20"/>
      <c r="Y17" s="21"/>
      <c r="Z17" s="51"/>
      <c r="AB17" s="20"/>
      <c r="AC17" s="62"/>
      <c r="AD17" s="62"/>
      <c r="AE17" s="62"/>
      <c r="AF17" s="21"/>
      <c r="AG17" s="51"/>
      <c r="AI17" s="20"/>
      <c r="AJ17" s="21"/>
      <c r="AK17" s="51"/>
      <c r="AM17" s="20"/>
      <c r="AN17" s="21"/>
      <c r="AO17" s="51"/>
      <c r="BM17" s="51"/>
    </row>
    <row r="18" spans="2:65">
      <c r="D18" s="23"/>
      <c r="E18" s="23"/>
      <c r="F18" s="20"/>
      <c r="G18" s="62"/>
      <c r="H18" s="23"/>
      <c r="I18" s="23"/>
      <c r="J18" s="20"/>
      <c r="K18" s="62"/>
      <c r="Q18" s="20"/>
      <c r="R18" s="62"/>
      <c r="T18" s="29"/>
      <c r="U18" s="21"/>
      <c r="V18" s="51"/>
      <c r="X18" s="29"/>
      <c r="Y18" s="21"/>
      <c r="Z18" s="51"/>
      <c r="AB18" s="29"/>
      <c r="AC18" s="29"/>
      <c r="AD18" s="29"/>
      <c r="AE18" s="29"/>
      <c r="AF18" s="21"/>
      <c r="AG18" s="51"/>
      <c r="AI18" s="29"/>
      <c r="AJ18" s="21"/>
      <c r="AK18" s="51"/>
      <c r="AM18" s="29"/>
      <c r="AN18" s="21"/>
      <c r="AO18" s="51"/>
      <c r="BM18" s="51"/>
    </row>
    <row r="19" spans="2:65">
      <c r="D19" s="23"/>
      <c r="E19" s="23"/>
      <c r="F19" s="20"/>
      <c r="G19" s="62"/>
      <c r="H19" s="23"/>
      <c r="I19" s="23"/>
      <c r="J19" s="20"/>
      <c r="K19" s="62"/>
      <c r="Q19" s="20"/>
      <c r="R19" s="62"/>
      <c r="T19" s="29"/>
      <c r="U19" s="21"/>
      <c r="V19" s="51"/>
      <c r="X19" s="29"/>
      <c r="Y19" s="21"/>
      <c r="Z19" s="51"/>
      <c r="AB19" s="29"/>
      <c r="AC19" s="29"/>
      <c r="AD19" s="29"/>
      <c r="AE19" s="29"/>
      <c r="AF19" s="21"/>
      <c r="AG19" s="51"/>
      <c r="AI19" s="29"/>
      <c r="AJ19" s="21"/>
      <c r="AK19" s="51"/>
      <c r="AM19" s="29"/>
      <c r="AN19" s="21"/>
      <c r="AO19" s="51"/>
      <c r="BM19" s="51"/>
    </row>
    <row r="20" spans="2:65">
      <c r="D20" s="23"/>
      <c r="E20" s="23"/>
      <c r="F20" s="20"/>
      <c r="G20" s="62"/>
      <c r="H20" s="23"/>
      <c r="I20" s="23"/>
      <c r="J20" s="20"/>
      <c r="K20" s="62"/>
      <c r="Q20" s="20"/>
      <c r="R20" s="62"/>
      <c r="T20" s="29"/>
      <c r="U20" s="21"/>
      <c r="V20" s="51"/>
      <c r="X20" s="29"/>
      <c r="Y20" s="21"/>
      <c r="Z20" s="51"/>
      <c r="AB20" s="29"/>
      <c r="AC20" s="29"/>
      <c r="AD20" s="29"/>
      <c r="AE20" s="29"/>
      <c r="AF20" s="21"/>
      <c r="AG20" s="51"/>
      <c r="AI20" s="29"/>
      <c r="AJ20" s="21"/>
      <c r="AK20" s="51"/>
      <c r="AM20" s="29"/>
      <c r="AN20" s="21"/>
      <c r="AO20" s="51"/>
      <c r="BM20" s="51"/>
    </row>
    <row r="21" spans="2:65">
      <c r="D21" s="23"/>
      <c r="E21" s="23"/>
      <c r="F21" s="20"/>
      <c r="G21" s="62"/>
      <c r="H21" s="23"/>
      <c r="I21" s="23"/>
      <c r="J21" s="20"/>
      <c r="K21" s="62"/>
      <c r="Q21" s="20"/>
      <c r="R21" s="62"/>
      <c r="T21" s="29"/>
      <c r="U21" s="21"/>
      <c r="V21" s="51"/>
      <c r="X21" s="29"/>
      <c r="Y21" s="21"/>
      <c r="Z21" s="51"/>
      <c r="AB21" s="29"/>
      <c r="AC21" s="29"/>
      <c r="AD21" s="29"/>
      <c r="AE21" s="29"/>
      <c r="AF21" s="21"/>
      <c r="AG21" s="51"/>
      <c r="AI21" s="29"/>
      <c r="AJ21" s="21"/>
      <c r="AK21" s="51"/>
      <c r="AM21" s="29"/>
      <c r="AN21" s="21"/>
      <c r="AO21" s="51"/>
      <c r="BM21" s="51"/>
    </row>
    <row r="22" spans="2:65">
      <c r="T22" s="29"/>
      <c r="U22" s="21"/>
      <c r="V22" s="51"/>
      <c r="X22" s="29"/>
      <c r="Y22" s="21"/>
      <c r="Z22" s="51"/>
      <c r="AB22" s="29"/>
      <c r="AC22" s="29"/>
      <c r="AD22" s="29"/>
      <c r="AE22" s="29"/>
      <c r="AF22" s="21"/>
      <c r="AG22" s="51"/>
      <c r="AI22" s="29"/>
      <c r="AJ22" s="21"/>
      <c r="AK22" s="51"/>
      <c r="AM22" s="29"/>
      <c r="AN22" s="21"/>
      <c r="AO22" s="51"/>
      <c r="BM22" s="51"/>
    </row>
    <row r="23" spans="2:65">
      <c r="T23" s="29"/>
      <c r="U23" s="21"/>
      <c r="V23" s="51"/>
      <c r="X23" s="29"/>
      <c r="Y23" s="21"/>
      <c r="Z23" s="51"/>
      <c r="AB23" s="29"/>
      <c r="AC23" s="29"/>
      <c r="AD23" s="29"/>
      <c r="AE23" s="29"/>
      <c r="AF23" s="21"/>
      <c r="AG23" s="51"/>
      <c r="AI23" s="29"/>
      <c r="AJ23" s="21"/>
      <c r="AK23" s="51"/>
      <c r="AM23" s="29"/>
      <c r="AN23" s="21"/>
      <c r="AO23" s="51"/>
      <c r="BM23" s="51"/>
    </row>
    <row r="24" spans="2:65">
      <c r="T24" s="29"/>
      <c r="U24" s="21"/>
      <c r="V24" s="51"/>
      <c r="X24" s="29"/>
      <c r="Y24" s="21"/>
      <c r="Z24" s="51"/>
      <c r="AB24" s="29"/>
      <c r="AC24" s="29"/>
      <c r="AD24" s="29"/>
      <c r="AE24" s="29"/>
      <c r="AF24" s="21"/>
      <c r="AG24" s="51"/>
      <c r="AI24" s="29"/>
      <c r="AJ24" s="21"/>
      <c r="AK24" s="51"/>
      <c r="AM24" s="29"/>
      <c r="AN24" s="21"/>
      <c r="AO24" s="51"/>
    </row>
    <row r="25" spans="2:65">
      <c r="T25" s="29"/>
      <c r="U25" s="21"/>
      <c r="V25" s="51"/>
      <c r="X25" s="29"/>
      <c r="Y25" s="21"/>
      <c r="Z25" s="51"/>
      <c r="AB25" s="29"/>
      <c r="AC25" s="29"/>
      <c r="AD25" s="29"/>
      <c r="AE25" s="29"/>
      <c r="AF25" s="21"/>
      <c r="AG25" s="51"/>
      <c r="AI25" s="29"/>
      <c r="AJ25" s="21"/>
      <c r="AK25" s="51"/>
      <c r="AM25" s="29"/>
      <c r="AN25" s="21"/>
      <c r="AO25" s="51"/>
    </row>
  </sheetData>
  <mergeCells count="17">
    <mergeCell ref="BK4:BM4"/>
    <mergeCell ref="AR4:AT4"/>
    <mergeCell ref="AV4:AX4"/>
    <mergeCell ref="AZ4:BB4"/>
    <mergeCell ref="BD4:BF4"/>
    <mergeCell ref="BG4:BI4"/>
    <mergeCell ref="C4:E4"/>
    <mergeCell ref="G4:I4"/>
    <mergeCell ref="K4:M4"/>
    <mergeCell ref="N4:P4"/>
    <mergeCell ref="R4:T4"/>
    <mergeCell ref="AO4:AQ4"/>
    <mergeCell ref="V4:X4"/>
    <mergeCell ref="Z4:AB4"/>
    <mergeCell ref="AC4:AE4"/>
    <mergeCell ref="AG4:AI4"/>
    <mergeCell ref="AK4:AM4"/>
  </mergeCells>
  <pageMargins left="0.7" right="0.7" top="0.78740157499999996" bottom="0.78740157499999996" header="0.3" footer="0.3"/>
  <pageSetup paperSize="9" orientation="portrait" r:id="rId1"/>
  <ignoredErrors>
    <ignoredError sqref="C10:E10 G10 K10 R10:T10 V10:X10 Z10:AB10" formulaRange="1"/>
    <ignoredError sqref="F10 J10 Q10 U10 Y10" formula="1"/>
    <ignoredError sqref="H10:I10 L10:M10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4B87-957B-4917-B45D-99AA3A5B1078}">
  <dimension ref="A1:BQ23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19.28515625" style="51" customWidth="1"/>
    <col min="3" max="3" width="8.28515625" style="51" customWidth="1"/>
    <col min="4" max="4" width="8.7109375" style="51" customWidth="1"/>
    <col min="5" max="5" width="9" style="51" customWidth="1"/>
    <col min="6" max="6" width="11.5703125" style="51" customWidth="1"/>
    <col min="7" max="7" width="8.85546875" style="51" customWidth="1"/>
    <col min="8" max="8" width="9.140625" style="51" customWidth="1"/>
    <col min="9" max="9" width="10.140625" style="51" customWidth="1"/>
    <col min="10" max="10" width="10.85546875" style="51" customWidth="1"/>
    <col min="11" max="11" width="8.710937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9" width="10" style="51" customWidth="1"/>
    <col min="20" max="20" width="9.7109375" style="51" customWidth="1"/>
    <col min="21" max="21" width="11.140625" style="51" customWidth="1"/>
    <col min="22" max="22" width="10.140625" style="51" customWidth="1"/>
    <col min="23" max="23" width="9.85546875" style="51" customWidth="1"/>
    <col min="24" max="24" width="10.42578125" style="51" customWidth="1"/>
    <col min="25" max="25" width="10.140625" style="51" bestFit="1" customWidth="1"/>
    <col min="26" max="26" width="9.5703125" style="51" customWidth="1"/>
    <col min="27" max="27" width="10.42578125" style="51" customWidth="1"/>
    <col min="28" max="31" width="11.42578125" style="51" customWidth="1"/>
    <col min="32" max="32" width="11.42578125" style="51"/>
    <col min="33" max="33" width="8.5703125" style="51" customWidth="1"/>
    <col min="34" max="34" width="9.28515625" style="51" customWidth="1"/>
    <col min="35" max="35" width="9.7109375" style="51" customWidth="1"/>
    <col min="36" max="36" width="11.42578125" style="5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/>
    <col min="41" max="41" width="9" style="51" customWidth="1"/>
    <col min="42" max="51" width="11.42578125" style="51"/>
    <col min="52" max="52" width="9.7109375" style="51" customWidth="1"/>
    <col min="53" max="62" width="11.42578125" style="51"/>
    <col min="63" max="63" width="11.42578125" style="316"/>
    <col min="64" max="16384" width="11.42578125" style="51"/>
  </cols>
  <sheetData>
    <row r="1" spans="2:69">
      <c r="B1" s="57" t="s">
        <v>54</v>
      </c>
      <c r="C1" s="57"/>
    </row>
    <row r="2" spans="2:69">
      <c r="B2" s="68"/>
      <c r="C2" s="68"/>
      <c r="AB2" s="64"/>
      <c r="AC2" s="142"/>
      <c r="AD2" s="142"/>
      <c r="AE2" s="142"/>
    </row>
    <row r="4" spans="2:69" ht="45" customHeight="1">
      <c r="B4" s="52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58">
        <v>2020</v>
      </c>
      <c r="BF5" s="58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58">
        <v>2020</v>
      </c>
      <c r="BM5" s="58">
        <v>2021</v>
      </c>
      <c r="BN5" s="369"/>
    </row>
    <row r="6" spans="2:69">
      <c r="B6" s="248" t="s">
        <v>6</v>
      </c>
      <c r="C6" s="53">
        <v>2344</v>
      </c>
      <c r="D6" s="185">
        <v>2330</v>
      </c>
      <c r="E6" s="143">
        <v>1769</v>
      </c>
      <c r="F6" s="198">
        <f>(E6-D6)/D6</f>
        <v>-0.2407725321888412</v>
      </c>
      <c r="G6" s="53">
        <v>2809</v>
      </c>
      <c r="H6" s="53">
        <v>1988</v>
      </c>
      <c r="I6" s="53">
        <v>1660</v>
      </c>
      <c r="J6" s="198">
        <f>(I6-H6)/H6</f>
        <v>-0.16498993963782696</v>
      </c>
      <c r="K6" s="53">
        <v>3266</v>
      </c>
      <c r="L6" s="53">
        <v>1609</v>
      </c>
      <c r="M6" s="53">
        <v>2155</v>
      </c>
      <c r="N6" s="53">
        <f>SUM(C6,G6,K6)</f>
        <v>8419</v>
      </c>
      <c r="O6" s="53">
        <f>SUM(D6,H6,L6)</f>
        <v>5927</v>
      </c>
      <c r="P6" s="53">
        <f>SUM(E6,I6,M6)</f>
        <v>5584</v>
      </c>
      <c r="Q6" s="222">
        <f>(M6-L6)/L6</f>
        <v>0.33934120571783716</v>
      </c>
      <c r="R6" s="53">
        <v>3008</v>
      </c>
      <c r="S6" s="53">
        <v>824</v>
      </c>
      <c r="T6" s="53">
        <v>2400</v>
      </c>
      <c r="U6" s="49">
        <f>(T6-S6)/S6</f>
        <v>1.912621359223301</v>
      </c>
      <c r="V6" s="53">
        <v>3641</v>
      </c>
      <c r="W6" s="53">
        <v>1127</v>
      </c>
      <c r="X6" s="53">
        <v>1989</v>
      </c>
      <c r="Y6" s="49">
        <f>(X6-W6)/W6</f>
        <v>0.76486246672582081</v>
      </c>
      <c r="Z6" s="53">
        <v>3255</v>
      </c>
      <c r="AA6" s="53">
        <v>2283</v>
      </c>
      <c r="AB6" s="52">
        <v>2953</v>
      </c>
      <c r="AC6" s="53">
        <f>SUM(R6,V6,Z6)</f>
        <v>9904</v>
      </c>
      <c r="AD6" s="53">
        <f t="shared" ref="AD6:AE10" si="0">SUM(S6,W6,AA6)</f>
        <v>4234</v>
      </c>
      <c r="AE6" s="53">
        <f t="shared" si="0"/>
        <v>7342</v>
      </c>
      <c r="AF6" s="49">
        <f>(AB6-AA6)/AA6</f>
        <v>0.29347349978098991</v>
      </c>
      <c r="AG6" s="49"/>
      <c r="AH6" s="53"/>
      <c r="AI6" s="53"/>
      <c r="AJ6" s="49"/>
      <c r="AK6" s="49"/>
      <c r="AL6" s="53"/>
      <c r="AM6" s="53"/>
      <c r="AN6" s="49"/>
      <c r="AO6" s="49"/>
      <c r="AP6" s="2"/>
      <c r="AQ6" s="1"/>
      <c r="AR6" s="52"/>
      <c r="AS6" s="52"/>
      <c r="AT6" s="52"/>
      <c r="AU6" s="49"/>
      <c r="AV6" s="49"/>
      <c r="AW6" s="2"/>
      <c r="AX6" s="143"/>
      <c r="AY6" s="49"/>
      <c r="AZ6" s="49"/>
      <c r="BA6" s="143"/>
      <c r="BB6" s="143"/>
      <c r="BC6" s="49"/>
      <c r="BD6" s="49"/>
      <c r="BE6" s="143"/>
      <c r="BF6" s="141"/>
      <c r="BG6" s="52"/>
      <c r="BH6" s="52"/>
      <c r="BI6" s="52"/>
      <c r="BJ6" s="49"/>
      <c r="BK6" s="145">
        <f>SUM(C6,G6,K6,R6,V6,Z6,AG6,AK6,AO6,AV6,AZ6,BD6)</f>
        <v>18323</v>
      </c>
      <c r="BL6" s="54">
        <f>SUM(D6,H6,L6,S6,W6,AA6,AH6,AL6,AP6,AW6,BA6,BE6)</f>
        <v>10161</v>
      </c>
      <c r="BM6" s="145">
        <f>SUM(E6,I6,M6,T6,X6,AB6,AI6,AM6,AQ6,AX6,BB6,BF6)</f>
        <v>12926</v>
      </c>
      <c r="BN6" s="59">
        <f>(BM6-BL6)/BL6</f>
        <v>0.27211888593642358</v>
      </c>
    </row>
    <row r="7" spans="2:69">
      <c r="B7" s="248" t="s">
        <v>3</v>
      </c>
      <c r="C7" s="53">
        <v>399</v>
      </c>
      <c r="D7" s="185">
        <v>440</v>
      </c>
      <c r="E7" s="143">
        <v>438</v>
      </c>
      <c r="F7" s="198">
        <f>(E7-D7)/D7</f>
        <v>-4.5454545454545452E-3</v>
      </c>
      <c r="G7" s="53">
        <v>420</v>
      </c>
      <c r="H7" s="53">
        <v>553</v>
      </c>
      <c r="I7" s="53">
        <v>430</v>
      </c>
      <c r="J7" s="198">
        <f t="shared" ref="J7:J9" si="1">(I7-H7)/H7</f>
        <v>-0.22242314647377939</v>
      </c>
      <c r="K7" s="53">
        <v>592</v>
      </c>
      <c r="L7" s="53">
        <v>365</v>
      </c>
      <c r="M7" s="53">
        <v>585</v>
      </c>
      <c r="N7" s="53">
        <f t="shared" ref="N7:N9" si="2">SUM(C7,G7,K7)</f>
        <v>1411</v>
      </c>
      <c r="O7" s="53">
        <f t="shared" ref="O7:O9" si="3">SUM(D7,H7,L7)</f>
        <v>1358</v>
      </c>
      <c r="P7" s="53">
        <f t="shared" ref="P7:P9" si="4">SUM(E7,I7,M7)</f>
        <v>1453</v>
      </c>
      <c r="Q7" s="222">
        <f t="shared" ref="Q7:Q10" si="5">(M7-L7)/L7</f>
        <v>0.60273972602739723</v>
      </c>
      <c r="R7" s="53">
        <v>365</v>
      </c>
      <c r="S7" s="55">
        <v>255</v>
      </c>
      <c r="T7" s="64">
        <v>634</v>
      </c>
      <c r="U7" s="49">
        <f t="shared" ref="U7:U10" si="6">(T7-S7)/S7</f>
        <v>1.4862745098039216</v>
      </c>
      <c r="V7" s="53">
        <v>457</v>
      </c>
      <c r="W7" s="53">
        <v>315</v>
      </c>
      <c r="X7" s="53">
        <v>594</v>
      </c>
      <c r="Y7" s="49">
        <f t="shared" ref="Y7:Y10" si="7">(X7-W7)/W7</f>
        <v>0.88571428571428568</v>
      </c>
      <c r="Z7" s="53">
        <v>658</v>
      </c>
      <c r="AA7" s="53">
        <v>361</v>
      </c>
      <c r="AB7" s="52">
        <v>741</v>
      </c>
      <c r="AC7" s="53">
        <f t="shared" ref="AC7:AC10" si="8">SUM(R7,V7,Z7)</f>
        <v>1480</v>
      </c>
      <c r="AD7" s="53">
        <f t="shared" si="0"/>
        <v>931</v>
      </c>
      <c r="AE7" s="53">
        <f t="shared" si="0"/>
        <v>1969</v>
      </c>
      <c r="AF7" s="49">
        <f t="shared" ref="AF7:AF10" si="9">(AB7-AA7)/AA7</f>
        <v>1.0526315789473684</v>
      </c>
      <c r="AG7" s="49"/>
      <c r="AH7" s="53"/>
      <c r="AI7" s="53"/>
      <c r="AJ7" s="49"/>
      <c r="AK7" s="49"/>
      <c r="AL7" s="53"/>
      <c r="AM7" s="53"/>
      <c r="AN7" s="49"/>
      <c r="AO7" s="49"/>
      <c r="AP7" s="2"/>
      <c r="AQ7" s="1"/>
      <c r="AR7" s="52"/>
      <c r="AS7" s="52"/>
      <c r="AT7" s="52"/>
      <c r="AU7" s="49"/>
      <c r="AV7" s="49"/>
      <c r="AW7" s="2"/>
      <c r="AX7" s="143"/>
      <c r="AY7" s="49"/>
      <c r="AZ7" s="49"/>
      <c r="BA7" s="143"/>
      <c r="BB7" s="141"/>
      <c r="BC7" s="49"/>
      <c r="BD7" s="49"/>
      <c r="BE7" s="143"/>
      <c r="BF7" s="141"/>
      <c r="BG7" s="52"/>
      <c r="BH7" s="52"/>
      <c r="BI7" s="52"/>
      <c r="BJ7" s="49"/>
      <c r="BK7" s="145">
        <f t="shared" ref="BK7:BK10" si="10">SUM(C7,G7,K7,R7,V7,Z7,AG7,AK7,AO7,AV7,AZ7,BD7)</f>
        <v>2891</v>
      </c>
      <c r="BL7" s="145">
        <f t="shared" ref="BL7:BL9" si="11">SUM(D7,H7,L7,S7,W7,AA7,AH7,AL7,AP7,AW7,BA7,BE7)</f>
        <v>2289</v>
      </c>
      <c r="BM7" s="145">
        <f t="shared" ref="BM7:BM9" si="12">SUM(E7,I7,M7,T7,X7,AB7,AI7,AM7,AQ7,AX7,BB7,BF7)</f>
        <v>3422</v>
      </c>
      <c r="BN7" s="59">
        <f>(BM7-BL7)/BL7</f>
        <v>0.49497597204019222</v>
      </c>
    </row>
    <row r="8" spans="2:69">
      <c r="B8" s="248" t="s">
        <v>4</v>
      </c>
      <c r="C8" s="53">
        <v>408</v>
      </c>
      <c r="D8" s="185">
        <v>319</v>
      </c>
      <c r="E8" s="143">
        <v>301</v>
      </c>
      <c r="F8" s="198">
        <f>(E8-D8)/D8</f>
        <v>-5.6426332288401257E-2</v>
      </c>
      <c r="G8" s="53">
        <v>331</v>
      </c>
      <c r="H8" s="53">
        <v>198</v>
      </c>
      <c r="I8" s="53">
        <v>212</v>
      </c>
      <c r="J8" s="198">
        <f t="shared" si="1"/>
        <v>7.0707070707070704E-2</v>
      </c>
      <c r="K8" s="53">
        <v>352</v>
      </c>
      <c r="L8" s="53">
        <v>130</v>
      </c>
      <c r="M8" s="53">
        <v>239</v>
      </c>
      <c r="N8" s="53">
        <f t="shared" si="2"/>
        <v>1091</v>
      </c>
      <c r="O8" s="53">
        <f t="shared" si="3"/>
        <v>647</v>
      </c>
      <c r="P8" s="53">
        <f t="shared" si="4"/>
        <v>752</v>
      </c>
      <c r="Q8" s="222">
        <f t="shared" si="5"/>
        <v>0.83846153846153848</v>
      </c>
      <c r="R8" s="53">
        <v>304</v>
      </c>
      <c r="S8" s="53">
        <v>65</v>
      </c>
      <c r="T8" s="53">
        <v>254</v>
      </c>
      <c r="U8" s="49">
        <f t="shared" si="6"/>
        <v>2.9076923076923076</v>
      </c>
      <c r="V8" s="53">
        <v>388</v>
      </c>
      <c r="W8" s="53">
        <v>80</v>
      </c>
      <c r="X8" s="53">
        <v>258</v>
      </c>
      <c r="Y8" s="49">
        <f t="shared" si="7"/>
        <v>2.2250000000000001</v>
      </c>
      <c r="Z8" s="53">
        <v>347</v>
      </c>
      <c r="AA8" s="52">
        <v>168</v>
      </c>
      <c r="AB8" s="52">
        <v>355</v>
      </c>
      <c r="AC8" s="53">
        <f t="shared" si="8"/>
        <v>1039</v>
      </c>
      <c r="AD8" s="53">
        <f t="shared" si="0"/>
        <v>313</v>
      </c>
      <c r="AE8" s="53">
        <f t="shared" si="0"/>
        <v>867</v>
      </c>
      <c r="AF8" s="49">
        <f t="shared" si="9"/>
        <v>1.1130952380952381</v>
      </c>
      <c r="AG8" s="49"/>
      <c r="AH8" s="53"/>
      <c r="AI8" s="53"/>
      <c r="AJ8" s="49"/>
      <c r="AK8" s="49"/>
      <c r="AL8" s="53"/>
      <c r="AM8" s="53"/>
      <c r="AN8" s="49"/>
      <c r="AO8" s="49"/>
      <c r="AP8" s="2"/>
      <c r="AQ8" s="1"/>
      <c r="AR8" s="52"/>
      <c r="AS8" s="52"/>
      <c r="AT8" s="52"/>
      <c r="AU8" s="49"/>
      <c r="AV8" s="49"/>
      <c r="AW8" s="2"/>
      <c r="AX8" s="143"/>
      <c r="AY8" s="49"/>
      <c r="AZ8" s="49"/>
      <c r="BA8" s="143"/>
      <c r="BB8" s="141"/>
      <c r="BC8" s="49"/>
      <c r="BD8" s="49"/>
      <c r="BE8" s="143"/>
      <c r="BF8" s="141"/>
      <c r="BG8" s="52"/>
      <c r="BH8" s="52"/>
      <c r="BI8" s="52"/>
      <c r="BJ8" s="49"/>
      <c r="BK8" s="145">
        <f t="shared" si="10"/>
        <v>2130</v>
      </c>
      <c r="BL8" s="145">
        <f t="shared" si="11"/>
        <v>960</v>
      </c>
      <c r="BM8" s="145">
        <f t="shared" si="12"/>
        <v>1619</v>
      </c>
      <c r="BN8" s="59">
        <f>(BM8-BL8)/BL8</f>
        <v>0.68645833333333328</v>
      </c>
    </row>
    <row r="9" spans="2:69">
      <c r="B9" s="248" t="s">
        <v>5</v>
      </c>
      <c r="C9" s="53">
        <v>17</v>
      </c>
      <c r="D9" s="185">
        <v>30</v>
      </c>
      <c r="E9" s="143">
        <v>1</v>
      </c>
      <c r="F9" s="198">
        <f>(E9-D9)/D9</f>
        <v>-0.96666666666666667</v>
      </c>
      <c r="G9" s="53">
        <v>6</v>
      </c>
      <c r="H9" s="53">
        <v>6</v>
      </c>
      <c r="I9" s="53">
        <v>2</v>
      </c>
      <c r="J9" s="198">
        <f t="shared" si="1"/>
        <v>-0.66666666666666663</v>
      </c>
      <c r="K9" s="53">
        <v>68</v>
      </c>
      <c r="L9" s="53">
        <v>19</v>
      </c>
      <c r="M9" s="53">
        <v>1</v>
      </c>
      <c r="N9" s="53">
        <f t="shared" si="2"/>
        <v>91</v>
      </c>
      <c r="O9" s="53">
        <f t="shared" si="3"/>
        <v>55</v>
      </c>
      <c r="P9" s="53">
        <f t="shared" si="4"/>
        <v>4</v>
      </c>
      <c r="Q9" s="222">
        <f t="shared" si="5"/>
        <v>-0.94736842105263153</v>
      </c>
      <c r="R9" s="53">
        <v>52</v>
      </c>
      <c r="S9" s="53">
        <v>16</v>
      </c>
      <c r="T9" s="53">
        <v>27</v>
      </c>
      <c r="U9" s="49">
        <f t="shared" si="6"/>
        <v>0.6875</v>
      </c>
      <c r="V9" s="53">
        <v>17</v>
      </c>
      <c r="W9" s="53">
        <v>4</v>
      </c>
      <c r="X9" s="53">
        <v>2</v>
      </c>
      <c r="Y9" s="49">
        <f t="shared" si="7"/>
        <v>-0.5</v>
      </c>
      <c r="Z9" s="52">
        <v>44</v>
      </c>
      <c r="AA9" s="52">
        <v>11</v>
      </c>
      <c r="AB9" s="52">
        <v>31</v>
      </c>
      <c r="AC9" s="53">
        <f t="shared" si="8"/>
        <v>113</v>
      </c>
      <c r="AD9" s="53">
        <f t="shared" si="0"/>
        <v>31</v>
      </c>
      <c r="AE9" s="53">
        <f t="shared" si="0"/>
        <v>60</v>
      </c>
      <c r="AF9" s="49">
        <f t="shared" si="9"/>
        <v>1.8181818181818181</v>
      </c>
      <c r="AG9" s="49"/>
      <c r="AH9" s="53"/>
      <c r="AI9" s="53"/>
      <c r="AJ9" s="49"/>
      <c r="AK9" s="49"/>
      <c r="AL9" s="53"/>
      <c r="AM9" s="53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206"/>
      <c r="BA9" s="53"/>
      <c r="BB9" s="236"/>
      <c r="BC9" s="49"/>
      <c r="BD9" s="49"/>
      <c r="BE9" s="143"/>
      <c r="BF9" s="141"/>
      <c r="BG9" s="52"/>
      <c r="BH9" s="52"/>
      <c r="BI9" s="52"/>
      <c r="BJ9" s="49"/>
      <c r="BK9" s="145">
        <f t="shared" si="10"/>
        <v>204</v>
      </c>
      <c r="BL9" s="145">
        <f t="shared" si="11"/>
        <v>86</v>
      </c>
      <c r="BM9" s="145">
        <f t="shared" si="12"/>
        <v>64</v>
      </c>
      <c r="BN9" s="59">
        <f>(BM9-BL9)/BL9</f>
        <v>-0.2558139534883721</v>
      </c>
    </row>
    <row r="10" spans="2:69" s="57" customFormat="1">
      <c r="B10" s="249" t="s">
        <v>7</v>
      </c>
      <c r="C10" s="187">
        <f>SUM(C6:C9)</f>
        <v>3168</v>
      </c>
      <c r="D10" s="187">
        <f>SUM(D6:D9)</f>
        <v>3119</v>
      </c>
      <c r="E10" s="54">
        <f>SUM(E6:E9)</f>
        <v>2509</v>
      </c>
      <c r="F10" s="50">
        <f>(E10-D10)/D10</f>
        <v>-0.19557550496954151</v>
      </c>
      <c r="G10" s="145">
        <f>SUM(G6:G9)</f>
        <v>3566</v>
      </c>
      <c r="H10" s="54">
        <f>SUM(H6:H9)</f>
        <v>2745</v>
      </c>
      <c r="I10" s="54">
        <f>SUM(I6:I9)</f>
        <v>2304</v>
      </c>
      <c r="J10" s="50">
        <f>(I10-H10)/H10</f>
        <v>-0.16065573770491803</v>
      </c>
      <c r="K10" s="145">
        <f>SUM(K6:K9)</f>
        <v>4278</v>
      </c>
      <c r="L10" s="54">
        <f>SUM(L6:L9)</f>
        <v>2123</v>
      </c>
      <c r="M10" s="54">
        <f>SUM(M6:M9)</f>
        <v>2980</v>
      </c>
      <c r="N10" s="227">
        <f>SUM(N6:N9)</f>
        <v>11012</v>
      </c>
      <c r="O10" s="227">
        <f t="shared" ref="O10:P10" si="13">SUM(O6:O9)</f>
        <v>7987</v>
      </c>
      <c r="P10" s="227">
        <f t="shared" si="13"/>
        <v>7793</v>
      </c>
      <c r="Q10" s="223">
        <f t="shared" si="5"/>
        <v>0.40367404616109281</v>
      </c>
      <c r="R10" s="332">
        <f>SUM(R6:R9)</f>
        <v>3729</v>
      </c>
      <c r="S10" s="332">
        <f>SUM(S6:S9)</f>
        <v>1160</v>
      </c>
      <c r="T10" s="54">
        <f>SUM(T6:T9)</f>
        <v>3315</v>
      </c>
      <c r="U10" s="49">
        <f t="shared" si="6"/>
        <v>1.8577586206896552</v>
      </c>
      <c r="V10" s="289">
        <f>SUM(V6:V9)</f>
        <v>4503</v>
      </c>
      <c r="W10" s="289">
        <f t="shared" ref="W10:X10" si="14">SUM(W6:W9)</f>
        <v>1526</v>
      </c>
      <c r="X10" s="289">
        <f t="shared" si="14"/>
        <v>2843</v>
      </c>
      <c r="Y10" s="49">
        <f t="shared" si="7"/>
        <v>0.86304062909567492</v>
      </c>
      <c r="Z10" s="289">
        <f>SUM(Z6:Z9)</f>
        <v>4304</v>
      </c>
      <c r="AA10" s="289">
        <f>SUM(AA6:AA9)</f>
        <v>2823</v>
      </c>
      <c r="AB10" s="289">
        <f>SUM(AB6:AB9)</f>
        <v>4080</v>
      </c>
      <c r="AC10" s="145">
        <f t="shared" si="8"/>
        <v>12536</v>
      </c>
      <c r="AD10" s="145">
        <f t="shared" si="0"/>
        <v>5509</v>
      </c>
      <c r="AE10" s="145">
        <f t="shared" si="0"/>
        <v>10238</v>
      </c>
      <c r="AF10" s="50">
        <f t="shared" si="9"/>
        <v>0.4452709883103082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145">
        <f t="shared" si="10"/>
        <v>23548</v>
      </c>
      <c r="BL10" s="54">
        <f>SUM(D10,H10,L10,S10,W10,AA10,AH10,AL10,AP10,AW10,BA10,BE10)</f>
        <v>13496</v>
      </c>
      <c r="BM10" s="145">
        <f>SUM(E10,I10,M10,T10,X10,AB10,AI10,AM10,AQ10,AX10,BB10,BF10)</f>
        <v>18031</v>
      </c>
      <c r="BN10" s="60">
        <f>(BM10-BL10)/BL10</f>
        <v>0.33602548903378782</v>
      </c>
      <c r="BP10" s="51"/>
      <c r="BQ10" s="62"/>
    </row>
    <row r="12" spans="2:69">
      <c r="B12" s="51" t="s">
        <v>55</v>
      </c>
    </row>
    <row r="13" spans="2:69">
      <c r="Z13" s="316"/>
      <c r="AA13" s="316"/>
      <c r="AB13" s="316"/>
      <c r="AC13" s="316"/>
      <c r="AD13" s="316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L13" s="142"/>
      <c r="BM13" s="142"/>
    </row>
    <row r="14" spans="2:69">
      <c r="B14" s="51" t="s">
        <v>101</v>
      </c>
      <c r="D14" s="63"/>
      <c r="E14" s="63"/>
      <c r="F14" s="63"/>
      <c r="G14" s="63"/>
      <c r="H14" s="63"/>
      <c r="I14" s="63"/>
      <c r="AA14" s="316"/>
      <c r="AB14" s="316"/>
      <c r="AC14" s="316"/>
      <c r="AD14" s="316"/>
    </row>
    <row r="15" spans="2:69">
      <c r="Z15" s="316"/>
      <c r="AA15" s="316"/>
      <c r="AB15" s="316"/>
      <c r="AC15" s="316"/>
      <c r="AD15" s="316"/>
      <c r="AJ15" s="64"/>
      <c r="AK15" s="142"/>
      <c r="AL15" s="64"/>
      <c r="AM15" s="64"/>
      <c r="AN15" s="64"/>
      <c r="AO15" s="142"/>
      <c r="AP15" s="64"/>
      <c r="AQ15" s="64"/>
      <c r="AR15" s="142"/>
      <c r="AS15" s="142"/>
      <c r="AT15" s="142"/>
      <c r="AU15" s="64"/>
      <c r="AV15" s="142"/>
      <c r="AW15" s="64"/>
      <c r="AX15" s="64"/>
      <c r="AY15" s="64"/>
      <c r="AZ15" s="142"/>
      <c r="BA15" s="64"/>
      <c r="BB15" s="64"/>
      <c r="BC15" s="64"/>
      <c r="BD15" s="142"/>
    </row>
    <row r="16" spans="2:69">
      <c r="B16" s="142"/>
      <c r="C16" s="142"/>
      <c r="D16" s="142"/>
      <c r="E16" s="142"/>
      <c r="F16" s="142"/>
      <c r="G16" s="142"/>
      <c r="H16" s="64"/>
      <c r="I16" s="64"/>
      <c r="Z16" s="316"/>
      <c r="AA16" s="316"/>
      <c r="AB16" s="316"/>
      <c r="AC16" s="316"/>
      <c r="AD16" s="316"/>
      <c r="AJ16" s="64"/>
      <c r="AK16" s="142"/>
      <c r="AL16" s="64"/>
      <c r="AM16" s="64"/>
      <c r="AN16" s="64"/>
      <c r="AO16" s="142"/>
      <c r="AP16" s="64"/>
      <c r="AQ16" s="64"/>
      <c r="AR16" s="142"/>
      <c r="AS16" s="142"/>
      <c r="AT16" s="142"/>
      <c r="AU16" s="64"/>
      <c r="AV16" s="142"/>
      <c r="AW16" s="64"/>
      <c r="AX16" s="64"/>
      <c r="AY16" s="64"/>
      <c r="AZ16" s="142"/>
      <c r="BA16" s="64"/>
      <c r="BB16" s="64"/>
      <c r="BC16" s="64"/>
      <c r="BD16" s="142"/>
    </row>
    <row r="17" spans="2:56">
      <c r="B17" s="142"/>
      <c r="C17" s="142"/>
      <c r="D17" s="142"/>
      <c r="E17" s="142"/>
      <c r="F17" s="142"/>
      <c r="G17" s="142"/>
      <c r="H17" s="64"/>
      <c r="I17" s="64"/>
      <c r="Z17" s="316"/>
      <c r="AA17" s="316"/>
      <c r="AB17" s="316"/>
      <c r="AC17" s="316"/>
      <c r="AD17" s="316"/>
      <c r="AJ17" s="64"/>
      <c r="AK17" s="142"/>
      <c r="AL17" s="64"/>
      <c r="AM17" s="64"/>
      <c r="AN17" s="64"/>
      <c r="AO17" s="142"/>
      <c r="AP17" s="64"/>
      <c r="AQ17" s="64"/>
      <c r="AR17" s="142"/>
      <c r="AS17" s="142"/>
      <c r="AT17" s="142"/>
      <c r="AU17" s="64"/>
      <c r="AV17" s="142"/>
      <c r="AW17" s="64"/>
      <c r="AX17" s="64"/>
      <c r="AY17" s="64"/>
      <c r="AZ17" s="142"/>
      <c r="BA17" s="64"/>
      <c r="BB17" s="64"/>
      <c r="BC17" s="64"/>
      <c r="BD17" s="142"/>
    </row>
    <row r="18" spans="2:56">
      <c r="B18" s="142"/>
      <c r="C18" s="142"/>
      <c r="D18" s="142"/>
      <c r="E18" s="142"/>
      <c r="F18" s="142"/>
      <c r="G18" s="142"/>
      <c r="H18" s="64"/>
      <c r="I18" s="64"/>
      <c r="Z18" s="316"/>
      <c r="AA18" s="316"/>
      <c r="AB18" s="316"/>
      <c r="AC18" s="316"/>
      <c r="AD18" s="316"/>
      <c r="AJ18" s="64"/>
      <c r="AK18" s="142"/>
      <c r="AL18" s="64"/>
      <c r="AM18" s="64"/>
      <c r="AN18" s="64"/>
      <c r="AO18" s="142"/>
      <c r="AP18" s="64"/>
      <c r="AQ18" s="64"/>
      <c r="AR18" s="142"/>
      <c r="AS18" s="142"/>
      <c r="AT18" s="142"/>
      <c r="AU18" s="64"/>
      <c r="AV18" s="142"/>
      <c r="AW18" s="64"/>
      <c r="AX18" s="64"/>
      <c r="AY18" s="64"/>
      <c r="AZ18" s="142"/>
      <c r="BA18" s="64"/>
      <c r="BB18" s="64"/>
      <c r="BC18" s="64"/>
      <c r="BD18" s="142"/>
    </row>
    <row r="19" spans="2:56">
      <c r="B19" s="142"/>
      <c r="C19" s="142"/>
      <c r="D19" s="142"/>
      <c r="E19" s="142"/>
      <c r="F19" s="142"/>
      <c r="G19" s="142"/>
      <c r="H19" s="64"/>
      <c r="I19" s="64"/>
      <c r="Z19" s="316"/>
      <c r="AA19" s="316"/>
      <c r="AB19" s="316"/>
      <c r="AC19" s="316"/>
      <c r="AD19" s="316"/>
      <c r="AJ19" s="64"/>
      <c r="AK19" s="142"/>
      <c r="AL19" s="64"/>
      <c r="AM19" s="64"/>
      <c r="AN19" s="64"/>
      <c r="AO19" s="142"/>
      <c r="AP19" s="64"/>
      <c r="AQ19" s="64"/>
      <c r="AR19" s="142"/>
      <c r="AS19" s="142"/>
      <c r="AT19" s="142"/>
      <c r="AU19" s="64"/>
      <c r="AV19" s="142"/>
      <c r="AW19" s="64"/>
      <c r="AX19" s="64"/>
      <c r="AY19" s="64"/>
      <c r="AZ19" s="142"/>
      <c r="BA19" s="64"/>
      <c r="BB19" s="64"/>
      <c r="BC19" s="64"/>
      <c r="BD19" s="142"/>
    </row>
    <row r="20" spans="2:56">
      <c r="B20" s="142"/>
      <c r="C20" s="142"/>
      <c r="D20" s="142"/>
      <c r="E20" s="142"/>
      <c r="F20" s="142"/>
      <c r="G20" s="142"/>
      <c r="H20" s="64"/>
      <c r="I20" s="64"/>
      <c r="AJ20" s="64"/>
      <c r="AK20" s="142"/>
      <c r="AL20" s="64"/>
      <c r="AM20" s="64"/>
      <c r="AN20" s="64"/>
      <c r="AO20" s="142"/>
      <c r="AP20" s="64"/>
      <c r="AQ20" s="64"/>
      <c r="AR20" s="142"/>
      <c r="AS20" s="142"/>
      <c r="AT20" s="142"/>
      <c r="AU20" s="64"/>
      <c r="AV20" s="142"/>
      <c r="AW20" s="64"/>
      <c r="AX20" s="64"/>
      <c r="AY20" s="64"/>
      <c r="AZ20" s="142"/>
      <c r="BA20" s="64"/>
      <c r="BB20" s="64"/>
      <c r="BC20" s="64"/>
      <c r="BD20" s="142"/>
    </row>
    <row r="21" spans="2:56">
      <c r="B21" s="142"/>
      <c r="C21" s="142"/>
      <c r="D21" s="142"/>
      <c r="E21" s="142"/>
      <c r="F21" s="142"/>
      <c r="G21" s="142"/>
      <c r="H21" s="64"/>
      <c r="I21" s="64"/>
    </row>
    <row r="22" spans="2:56">
      <c r="B22" s="142"/>
      <c r="C22" s="142"/>
      <c r="D22" s="142"/>
      <c r="E22" s="142"/>
      <c r="F22" s="142"/>
      <c r="G22" s="142"/>
    </row>
    <row r="23" spans="2:56">
      <c r="B23" s="142"/>
      <c r="C23" s="142"/>
      <c r="D23" s="142"/>
      <c r="E23" s="142"/>
      <c r="F23" s="142"/>
      <c r="G23" s="142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pageMargins left="0.7" right="0.7" top="0.78740157499999996" bottom="0.78740157499999996" header="0.3" footer="0.3"/>
  <pageSetup paperSize="9" orientation="portrait" r:id="rId1"/>
  <ignoredErrors>
    <ignoredError sqref="C10:E10 G10:I10 K10:M10 R10:T10 V10:X10 Z10:AA10 AB10" formulaRange="1"/>
    <ignoredError sqref="F10 J10 Q10 U10 Y1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3464-2F8B-4224-961D-6B35F0074867}">
  <dimension ref="A1:BQ24"/>
  <sheetViews>
    <sheetView topLeftCell="B1" zoomScaleNormal="100" workbookViewId="0">
      <pane xSplit="1" topLeftCell="AT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19.28515625" style="51" customWidth="1"/>
    <col min="3" max="3" width="11.42578125" style="51" bestFit="1" customWidth="1"/>
    <col min="4" max="4" width="9.5703125" style="51" customWidth="1"/>
    <col min="5" max="5" width="9.5703125" style="51" bestFit="1" customWidth="1"/>
    <col min="6" max="6" width="10.140625" style="29" customWidth="1"/>
    <col min="7" max="7" width="10.42578125" style="29" customWidth="1"/>
    <col min="8" max="8" width="11.140625" style="51" customWidth="1"/>
    <col min="9" max="9" width="11.85546875" style="51" customWidth="1"/>
    <col min="10" max="11" width="10.42578125" style="29" customWidth="1"/>
    <col min="12" max="13" width="9.5703125" style="51" bestFit="1" customWidth="1"/>
    <col min="14" max="14" width="8.5703125" style="51" customWidth="1"/>
    <col min="15" max="15" width="9.5703125" style="51" customWidth="1"/>
    <col min="16" max="16" width="9.42578125" style="51" customWidth="1"/>
    <col min="17" max="17" width="10.7109375" style="29" customWidth="1"/>
    <col min="18" max="18" width="10" style="29" customWidth="1"/>
    <col min="19" max="19" width="11.28515625" style="51" customWidth="1"/>
    <col min="20" max="20" width="10" style="51" customWidth="1"/>
    <col min="21" max="21" width="10.28515625" style="29" customWidth="1"/>
    <col min="22" max="22" width="11.5703125" style="29" customWidth="1"/>
    <col min="23" max="23" width="10.28515625" style="51" bestFit="1" customWidth="1"/>
    <col min="24" max="24" width="9.5703125" style="51" bestFit="1" customWidth="1"/>
    <col min="25" max="25" width="10.7109375" style="29" customWidth="1"/>
    <col min="26" max="26" width="10.140625" style="29" customWidth="1"/>
    <col min="27" max="27" width="10" style="51" customWidth="1"/>
    <col min="28" max="28" width="11.5703125" style="51" customWidth="1"/>
    <col min="29" max="31" width="9.42578125" style="51" customWidth="1"/>
    <col min="32" max="32" width="10.7109375" style="29" customWidth="1"/>
    <col min="33" max="33" width="8.5703125" style="29" customWidth="1"/>
    <col min="34" max="34" width="9.28515625" style="51" customWidth="1"/>
    <col min="35" max="35" width="9.7109375" style="51" customWidth="1"/>
    <col min="36" max="36" width="10.7109375" style="29" bestFit="1" customWidth="1"/>
    <col min="37" max="37" width="8.85546875" style="29" customWidth="1"/>
    <col min="38" max="38" width="9.140625" style="51" customWidth="1"/>
    <col min="39" max="39" width="9.42578125" style="51" customWidth="1"/>
    <col min="40" max="40" width="10.7109375" style="29" bestFit="1" customWidth="1"/>
    <col min="41" max="41" width="9" style="29" customWidth="1"/>
    <col min="42" max="46" width="11.42578125" style="51"/>
    <col min="47" max="47" width="10.7109375" style="29" bestFit="1" customWidth="1"/>
    <col min="48" max="48" width="10.7109375" style="29" customWidth="1"/>
    <col min="49" max="49" width="11.42578125" style="51"/>
    <col min="50" max="50" width="9.7109375" style="51" customWidth="1"/>
    <col min="51" max="51" width="10" style="29" customWidth="1"/>
    <col min="52" max="52" width="9.7109375" style="29" customWidth="1"/>
    <col min="53" max="53" width="11.42578125" style="51"/>
    <col min="54" max="54" width="12" style="51" customWidth="1"/>
    <col min="55" max="56" width="10.85546875" style="29" customWidth="1"/>
    <col min="57" max="57" width="11.42578125" style="51"/>
    <col min="58" max="61" width="10.140625" style="51" customWidth="1"/>
    <col min="62" max="62" width="10.7109375" style="29" bestFit="1" customWidth="1"/>
    <col min="63" max="63" width="10.7109375" style="29" customWidth="1"/>
    <col min="64" max="16384" width="11.42578125" style="51"/>
  </cols>
  <sheetData>
    <row r="1" spans="2:69">
      <c r="B1" s="57" t="s">
        <v>35</v>
      </c>
      <c r="C1" s="57"/>
    </row>
    <row r="2" spans="2:69">
      <c r="AB2" s="142"/>
      <c r="AC2" s="142"/>
      <c r="AD2" s="142"/>
      <c r="AE2" s="142"/>
    </row>
    <row r="4" spans="2:69" ht="45">
      <c r="B4" s="141"/>
      <c r="C4" s="371" t="s">
        <v>8</v>
      </c>
      <c r="D4" s="370"/>
      <c r="E4" s="372"/>
      <c r="F4" s="135" t="s">
        <v>29</v>
      </c>
      <c r="G4" s="374" t="s">
        <v>9</v>
      </c>
      <c r="H4" s="366"/>
      <c r="I4" s="373"/>
      <c r="J4" s="183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135" t="s">
        <v>29</v>
      </c>
      <c r="R4" s="365" t="s">
        <v>11</v>
      </c>
      <c r="S4" s="366"/>
      <c r="T4" s="367"/>
      <c r="U4" s="135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35" t="s">
        <v>29</v>
      </c>
      <c r="AG4" s="365" t="s">
        <v>2</v>
      </c>
      <c r="AH4" s="366"/>
      <c r="AI4" s="367"/>
      <c r="AJ4" s="135" t="s">
        <v>29</v>
      </c>
      <c r="AK4" s="377" t="s">
        <v>12</v>
      </c>
      <c r="AL4" s="378"/>
      <c r="AM4" s="379"/>
      <c r="AN4" s="157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35" t="s">
        <v>29</v>
      </c>
      <c r="AV4" s="365" t="s">
        <v>14</v>
      </c>
      <c r="AW4" s="366"/>
      <c r="AX4" s="367"/>
      <c r="AY4" s="183" t="s">
        <v>29</v>
      </c>
      <c r="AZ4" s="365" t="s">
        <v>15</v>
      </c>
      <c r="BA4" s="366"/>
      <c r="BB4" s="367"/>
      <c r="BC4" s="135" t="s">
        <v>29</v>
      </c>
      <c r="BD4" s="380" t="s">
        <v>16</v>
      </c>
      <c r="BE4" s="381"/>
      <c r="BF4" s="382"/>
      <c r="BG4" s="380" t="s">
        <v>137</v>
      </c>
      <c r="BH4" s="381"/>
      <c r="BI4" s="382"/>
      <c r="BJ4" s="184" t="s">
        <v>29</v>
      </c>
      <c r="BK4" s="365" t="s">
        <v>28</v>
      </c>
      <c r="BL4" s="370"/>
      <c r="BM4" s="367"/>
      <c r="BN4" s="158" t="s">
        <v>129</v>
      </c>
    </row>
    <row r="5" spans="2:69">
      <c r="B5" s="247"/>
      <c r="C5" s="261">
        <v>2019</v>
      </c>
      <c r="D5" s="260">
        <v>2020</v>
      </c>
      <c r="E5" s="163">
        <v>2021</v>
      </c>
      <c r="F5" s="162" t="s">
        <v>130</v>
      </c>
      <c r="G5" s="210">
        <v>2019</v>
      </c>
      <c r="H5" s="163">
        <v>2020</v>
      </c>
      <c r="I5" s="163">
        <v>2021</v>
      </c>
      <c r="J5" s="162" t="s">
        <v>130</v>
      </c>
      <c r="K5" s="210">
        <v>2019</v>
      </c>
      <c r="L5" s="163">
        <v>2020</v>
      </c>
      <c r="M5" s="163">
        <v>2021</v>
      </c>
      <c r="N5" s="197">
        <v>2019</v>
      </c>
      <c r="O5" s="197">
        <v>2020</v>
      </c>
      <c r="P5" s="197">
        <v>2021</v>
      </c>
      <c r="Q5" s="163" t="s">
        <v>130</v>
      </c>
      <c r="R5" s="210">
        <v>2019</v>
      </c>
      <c r="S5" s="163">
        <v>2020</v>
      </c>
      <c r="T5" s="163">
        <v>2021</v>
      </c>
      <c r="U5" s="162" t="s">
        <v>130</v>
      </c>
      <c r="V5" s="210">
        <v>2019</v>
      </c>
      <c r="W5" s="163">
        <v>2020</v>
      </c>
      <c r="X5" s="163">
        <v>2021</v>
      </c>
      <c r="Y5" s="162" t="s">
        <v>130</v>
      </c>
      <c r="Z5" s="210">
        <v>2019</v>
      </c>
      <c r="AA5" s="163">
        <v>2020</v>
      </c>
      <c r="AB5" s="163">
        <v>2021</v>
      </c>
      <c r="AC5" s="210">
        <v>2019</v>
      </c>
      <c r="AD5" s="163">
        <v>2020</v>
      </c>
      <c r="AE5" s="163">
        <v>2021</v>
      </c>
      <c r="AF5" s="162" t="s">
        <v>130</v>
      </c>
      <c r="AG5" s="210">
        <v>2019</v>
      </c>
      <c r="AH5" s="163">
        <v>2020</v>
      </c>
      <c r="AI5" s="163">
        <v>2021</v>
      </c>
      <c r="AJ5" s="162" t="s">
        <v>130</v>
      </c>
      <c r="AK5" s="210">
        <v>2019</v>
      </c>
      <c r="AL5" s="163">
        <v>2020</v>
      </c>
      <c r="AM5" s="163">
        <v>2021</v>
      </c>
      <c r="AN5" s="162" t="s">
        <v>130</v>
      </c>
      <c r="AO5" s="210">
        <v>2019</v>
      </c>
      <c r="AP5" s="163">
        <v>2020</v>
      </c>
      <c r="AQ5" s="163">
        <v>2021</v>
      </c>
      <c r="AR5" s="197">
        <v>2019</v>
      </c>
      <c r="AS5" s="197">
        <v>2020</v>
      </c>
      <c r="AT5" s="197">
        <v>2021</v>
      </c>
      <c r="AU5" s="162" t="s">
        <v>130</v>
      </c>
      <c r="AV5" s="210">
        <v>2019</v>
      </c>
      <c r="AW5" s="163">
        <v>2020</v>
      </c>
      <c r="AX5" s="163">
        <v>2021</v>
      </c>
      <c r="AY5" s="162" t="s">
        <v>130</v>
      </c>
      <c r="AZ5" s="210">
        <v>2019</v>
      </c>
      <c r="BA5" s="163">
        <v>2020</v>
      </c>
      <c r="BB5" s="163">
        <v>2021</v>
      </c>
      <c r="BC5" s="162" t="s">
        <v>130</v>
      </c>
      <c r="BD5" s="210">
        <v>2019</v>
      </c>
      <c r="BE5" s="163">
        <v>2020</v>
      </c>
      <c r="BF5" s="163">
        <v>2021</v>
      </c>
      <c r="BG5" s="197">
        <v>2019</v>
      </c>
      <c r="BH5" s="197">
        <v>2020</v>
      </c>
      <c r="BI5" s="197">
        <v>2021</v>
      </c>
      <c r="BJ5" s="162" t="s">
        <v>130</v>
      </c>
      <c r="BK5" s="210">
        <v>2019</v>
      </c>
      <c r="BL5" s="12">
        <v>2020</v>
      </c>
      <c r="BM5" s="12">
        <v>2021</v>
      </c>
      <c r="BN5" s="159"/>
    </row>
    <row r="6" spans="2:69">
      <c r="B6" s="248" t="s">
        <v>6</v>
      </c>
      <c r="C6" s="263">
        <f>VLOOKUP(B6,[1]China!$B$4:$D$9,2,FALSE)</f>
        <v>2025382</v>
      </c>
      <c r="D6" s="53">
        <v>1612769</v>
      </c>
      <c r="E6" s="53">
        <v>2044769</v>
      </c>
      <c r="F6" s="198">
        <f>(E6-D6)/D6</f>
        <v>0.2678622914998986</v>
      </c>
      <c r="G6" s="53">
        <v>1221752</v>
      </c>
      <c r="H6" s="53">
        <v>226688</v>
      </c>
      <c r="I6" s="53">
        <v>1155887</v>
      </c>
      <c r="J6" s="198">
        <f>(I6-H6)/H6</f>
        <v>4.0990215626764543</v>
      </c>
      <c r="K6" s="53">
        <v>2024107</v>
      </c>
      <c r="L6" s="53">
        <v>1056296</v>
      </c>
      <c r="M6" s="53">
        <v>1874311</v>
      </c>
      <c r="N6" s="53">
        <f>SUM(C6,G6,K6)</f>
        <v>5271241</v>
      </c>
      <c r="O6" s="53">
        <f>SUM(D6,H6,L6)</f>
        <v>2895753</v>
      </c>
      <c r="P6" s="53">
        <f>SUM(E6,I6,M6)</f>
        <v>5074967</v>
      </c>
      <c r="Q6" s="222">
        <f>(M6-L6)/L6</f>
        <v>0.77441834485788075</v>
      </c>
      <c r="R6" s="53">
        <v>1577972</v>
      </c>
      <c r="S6" s="53">
        <v>1537420</v>
      </c>
      <c r="T6" s="53">
        <v>1704040</v>
      </c>
      <c r="U6" s="164">
        <f>(T6-S6)/S6</f>
        <v>0.10837637080303365</v>
      </c>
      <c r="V6" s="53">
        <v>1564679</v>
      </c>
      <c r="W6" s="53">
        <v>1674917</v>
      </c>
      <c r="X6" s="53">
        <v>1646037</v>
      </c>
      <c r="Y6" s="53">
        <v>1646037</v>
      </c>
      <c r="Z6" s="231">
        <v>1731638</v>
      </c>
      <c r="AA6" s="231">
        <v>1765574</v>
      </c>
      <c r="AB6" s="160">
        <v>1569081</v>
      </c>
      <c r="AC6" s="231">
        <f>SUM(R6,V6,Z6)</f>
        <v>4874289</v>
      </c>
      <c r="AD6" s="231">
        <f t="shared" ref="AD6:AE10" si="0">SUM(S6,W6,AA6)</f>
        <v>4977911</v>
      </c>
      <c r="AE6" s="231">
        <f t="shared" si="0"/>
        <v>4919158</v>
      </c>
      <c r="AF6" s="166">
        <f>(AB6-AA6)/AA6</f>
        <v>-0.11129128544031573</v>
      </c>
      <c r="AG6" s="232"/>
      <c r="AH6" s="143"/>
      <c r="AI6" s="143"/>
      <c r="AJ6" s="166"/>
      <c r="AK6" s="232"/>
      <c r="AL6" s="97"/>
      <c r="AM6" s="97"/>
      <c r="AN6" s="168"/>
      <c r="AO6" s="93"/>
      <c r="AP6" s="97"/>
      <c r="AQ6" s="97"/>
      <c r="AR6" s="96"/>
      <c r="AS6" s="96"/>
      <c r="AT6" s="96"/>
      <c r="AU6" s="168"/>
      <c r="AV6" s="93"/>
      <c r="AW6" s="97"/>
      <c r="AX6" s="97"/>
      <c r="AY6" s="168"/>
      <c r="AZ6" s="93"/>
      <c r="BA6" s="97"/>
      <c r="BB6" s="97"/>
      <c r="BC6" s="168"/>
      <c r="BD6" s="93"/>
      <c r="BE6" s="153"/>
      <c r="BF6" s="154"/>
      <c r="BG6" s="246"/>
      <c r="BH6" s="246"/>
      <c r="BI6" s="246"/>
      <c r="BJ6" s="169"/>
      <c r="BK6" s="143">
        <f>SUM(C6,G6,K6,R6,V6,Z6,AG6,AK6,AO6,AV6,AZ6,BD6)</f>
        <v>10145530</v>
      </c>
      <c r="BL6" s="143">
        <f>SUM(D6,H6,L6,S6,W6,AA6,AH6,AL6,AP6,AW6,BA6,BE6)</f>
        <v>7873664</v>
      </c>
      <c r="BM6" s="143">
        <f>SUM(E6,I6,M6,T6,X6,AB6,AI6,AM6,AQ6,AX6,BB6,BF6)</f>
        <v>9994125</v>
      </c>
      <c r="BN6" s="13">
        <f>(BM6-BL6)/BL6</f>
        <v>0.2693105776421244</v>
      </c>
    </row>
    <row r="7" spans="2:69">
      <c r="B7" s="248" t="s">
        <v>36</v>
      </c>
      <c r="C7" s="263">
        <f>VLOOKUP(B7,[1]China!$B$4:$D$9,2,FALSE)</f>
        <v>150223</v>
      </c>
      <c r="D7" s="53">
        <v>118655</v>
      </c>
      <c r="E7" s="53">
        <v>163418</v>
      </c>
      <c r="F7" s="198">
        <f t="shared" ref="F7:F10" si="1">(E7-D7)/D7</f>
        <v>0.37725338165269057</v>
      </c>
      <c r="G7" s="53">
        <v>113849</v>
      </c>
      <c r="H7" s="53">
        <v>26736</v>
      </c>
      <c r="I7" s="38">
        <v>115385</v>
      </c>
      <c r="J7" s="198">
        <f t="shared" ref="J7:J10" si="2">(I7-H7)/H7</f>
        <v>3.3157166367444644</v>
      </c>
      <c r="K7" s="53">
        <v>211977</v>
      </c>
      <c r="L7" s="53">
        <v>161218</v>
      </c>
      <c r="M7" s="53">
        <v>259182</v>
      </c>
      <c r="N7" s="53">
        <f t="shared" ref="N7:N9" si="3">SUM(C7,G7,K7)</f>
        <v>476049</v>
      </c>
      <c r="O7" s="53">
        <f t="shared" ref="O7:O9" si="4">SUM(D7,H7,L7)</f>
        <v>306609</v>
      </c>
      <c r="P7" s="53">
        <f t="shared" ref="P7:P9" si="5">SUM(E7,I7,M7)</f>
        <v>537985</v>
      </c>
      <c r="Q7" s="222">
        <f t="shared" ref="Q7:Q10" si="6">(M7-L7)/L7</f>
        <v>0.60764926993263779</v>
      </c>
      <c r="R7" s="53">
        <v>176659</v>
      </c>
      <c r="S7" s="53">
        <v>204888</v>
      </c>
      <c r="T7" s="142">
        <v>214878</v>
      </c>
      <c r="U7" s="164">
        <f t="shared" ref="U7:U10" si="7">(T7-S7)/S7</f>
        <v>4.8758346023193157E-2</v>
      </c>
      <c r="V7" s="53">
        <v>153443</v>
      </c>
      <c r="W7" s="53">
        <v>203556</v>
      </c>
      <c r="X7" s="53">
        <v>196515</v>
      </c>
      <c r="Y7" s="53">
        <v>196515</v>
      </c>
      <c r="Z7" s="231">
        <v>149387</v>
      </c>
      <c r="AA7" s="231">
        <v>223868</v>
      </c>
      <c r="AB7" s="160">
        <v>166010</v>
      </c>
      <c r="AC7" s="231">
        <f t="shared" ref="AC7:AC10" si="8">SUM(R7,V7,Z7)</f>
        <v>479489</v>
      </c>
      <c r="AD7" s="231">
        <f t="shared" si="0"/>
        <v>632312</v>
      </c>
      <c r="AE7" s="231">
        <f t="shared" si="0"/>
        <v>577403</v>
      </c>
      <c r="AF7" s="166">
        <f t="shared" ref="AF7:AF10" si="9">(AB7-AA7)/AA7</f>
        <v>-0.25844694194793361</v>
      </c>
      <c r="AG7" s="232"/>
      <c r="AH7" s="143"/>
      <c r="AI7" s="143"/>
      <c r="AJ7" s="166"/>
      <c r="AK7" s="232"/>
      <c r="AL7" s="97"/>
      <c r="AM7" s="97"/>
      <c r="AN7" s="168"/>
      <c r="AO7" s="93"/>
      <c r="AP7" s="97"/>
      <c r="AQ7" s="97"/>
      <c r="AR7" s="96"/>
      <c r="AS7" s="96"/>
      <c r="AT7" s="96"/>
      <c r="AU7" s="168"/>
      <c r="AV7" s="93"/>
      <c r="AW7" s="97"/>
      <c r="AX7" s="97"/>
      <c r="AY7" s="168"/>
      <c r="AZ7" s="93"/>
      <c r="BA7" s="97"/>
      <c r="BB7" s="97"/>
      <c r="BC7" s="168"/>
      <c r="BD7" s="93"/>
      <c r="BE7" s="153"/>
      <c r="BF7" s="154"/>
      <c r="BG7" s="246"/>
      <c r="BH7" s="246"/>
      <c r="BI7" s="246"/>
      <c r="BJ7" s="169"/>
      <c r="BK7" s="143">
        <f t="shared" ref="BK7:BK10" si="10">SUM(C7,G7,K7,R7,V7,Z7,AG7,AK7,AO7,AV7,AZ7,BD7)</f>
        <v>955538</v>
      </c>
      <c r="BL7" s="143">
        <f t="shared" ref="BL7:BL9" si="11">SUM(D7,H7,L7,S7,W7,AA7,AH7,AL7,AP7,AW7,BA7,BE7)</f>
        <v>938921</v>
      </c>
      <c r="BM7" s="143">
        <f t="shared" ref="BM7:BM9" si="12">SUM(E7,I7,M7,T7,X7,AB7,AI7,AM7,AQ7,AX7,BB7,BF7)</f>
        <v>1115388</v>
      </c>
      <c r="BN7" s="13">
        <f t="shared" ref="BN7:BN10" si="13">(BM7-BL7)/BL7</f>
        <v>0.18794658975568765</v>
      </c>
    </row>
    <row r="8" spans="2:69">
      <c r="B8" s="248" t="s">
        <v>4</v>
      </c>
      <c r="C8" s="263">
        <f>VLOOKUP(B8,[1]China!$B$4:$D$9,2,FALSE)</f>
        <v>184697</v>
      </c>
      <c r="D8" s="53">
        <v>194675</v>
      </c>
      <c r="E8" s="53">
        <v>289365</v>
      </c>
      <c r="F8" s="198">
        <f t="shared" si="1"/>
        <v>0.48640041094131242</v>
      </c>
      <c r="G8" s="53">
        <v>144737</v>
      </c>
      <c r="H8" s="53">
        <v>58397</v>
      </c>
      <c r="I8" s="53">
        <v>180451</v>
      </c>
      <c r="J8" s="198">
        <f t="shared" si="2"/>
        <v>2.0900731201945306</v>
      </c>
      <c r="K8" s="53">
        <v>278088</v>
      </c>
      <c r="L8" s="53">
        <v>221433</v>
      </c>
      <c r="M8" s="53">
        <v>385213</v>
      </c>
      <c r="N8" s="53">
        <f t="shared" si="3"/>
        <v>607522</v>
      </c>
      <c r="O8" s="53">
        <f t="shared" si="4"/>
        <v>474505</v>
      </c>
      <c r="P8" s="53">
        <f t="shared" si="5"/>
        <v>855029</v>
      </c>
      <c r="Q8" s="222">
        <f t="shared" si="6"/>
        <v>0.73963682016682242</v>
      </c>
      <c r="R8" s="53">
        <v>218339</v>
      </c>
      <c r="S8" s="53">
        <v>322977</v>
      </c>
      <c r="T8" s="53">
        <v>325752</v>
      </c>
      <c r="U8" s="164">
        <f t="shared" si="7"/>
        <v>8.5919430795381706E-3</v>
      </c>
      <c r="V8" s="53">
        <v>188077</v>
      </c>
      <c r="W8" s="53">
        <v>307477</v>
      </c>
      <c r="X8" s="53">
        <v>276451</v>
      </c>
      <c r="Y8" s="53">
        <v>276451</v>
      </c>
      <c r="Z8" s="231">
        <v>166237</v>
      </c>
      <c r="AA8" s="231">
        <v>301679</v>
      </c>
      <c r="AB8" s="160">
        <v>268993</v>
      </c>
      <c r="AC8" s="231">
        <f t="shared" si="8"/>
        <v>572653</v>
      </c>
      <c r="AD8" s="231">
        <f t="shared" si="0"/>
        <v>932133</v>
      </c>
      <c r="AE8" s="231">
        <f t="shared" si="0"/>
        <v>871196</v>
      </c>
      <c r="AF8" s="166">
        <f t="shared" si="9"/>
        <v>-0.1083469515610964</v>
      </c>
      <c r="AG8" s="232"/>
      <c r="AH8" s="143"/>
      <c r="AI8" s="143"/>
      <c r="AJ8" s="166"/>
      <c r="AK8" s="232"/>
      <c r="AL8" s="97"/>
      <c r="AM8" s="97"/>
      <c r="AN8" s="168"/>
      <c r="AO8" s="93"/>
      <c r="AP8" s="97"/>
      <c r="AQ8" s="97"/>
      <c r="AR8" s="96"/>
      <c r="AS8" s="96"/>
      <c r="AT8" s="96"/>
      <c r="AU8" s="168"/>
      <c r="AV8" s="93"/>
      <c r="AW8" s="97"/>
      <c r="AX8" s="97"/>
      <c r="AY8" s="168"/>
      <c r="AZ8" s="93"/>
      <c r="BA8" s="97"/>
      <c r="BB8" s="97"/>
      <c r="BC8" s="168"/>
      <c r="BD8" s="93"/>
      <c r="BE8" s="153"/>
      <c r="BF8" s="154"/>
      <c r="BG8" s="246"/>
      <c r="BH8" s="246"/>
      <c r="BI8" s="246"/>
      <c r="BJ8" s="169"/>
      <c r="BK8" s="143">
        <f t="shared" si="10"/>
        <v>1180175</v>
      </c>
      <c r="BL8" s="143">
        <f t="shared" si="11"/>
        <v>1406638</v>
      </c>
      <c r="BM8" s="143">
        <f t="shared" si="12"/>
        <v>1726225</v>
      </c>
      <c r="BN8" s="13">
        <f t="shared" si="13"/>
        <v>0.22719917988850011</v>
      </c>
    </row>
    <row r="9" spans="2:69">
      <c r="B9" s="248" t="s">
        <v>5</v>
      </c>
      <c r="C9" s="263">
        <f>VLOOKUP(B9,[1]China!$B$4:$D$9,2,FALSE)</f>
        <v>11304</v>
      </c>
      <c r="D9" s="142">
        <v>7020</v>
      </c>
      <c r="E9" s="53">
        <v>5616</v>
      </c>
      <c r="F9" s="198">
        <f t="shared" si="1"/>
        <v>-0.2</v>
      </c>
      <c r="G9" s="53">
        <v>3575</v>
      </c>
      <c r="H9" s="53">
        <v>1204</v>
      </c>
      <c r="I9" s="53">
        <v>3083</v>
      </c>
      <c r="J9" s="198">
        <f t="shared" si="2"/>
        <v>1.5606312292358804</v>
      </c>
      <c r="K9" s="53">
        <v>10632</v>
      </c>
      <c r="L9" s="53">
        <v>4877</v>
      </c>
      <c r="M9" s="53">
        <v>6985</v>
      </c>
      <c r="N9" s="53">
        <f t="shared" si="3"/>
        <v>25511</v>
      </c>
      <c r="O9" s="53">
        <f t="shared" si="4"/>
        <v>13101</v>
      </c>
      <c r="P9" s="53">
        <f t="shared" si="5"/>
        <v>15684</v>
      </c>
      <c r="Q9" s="222">
        <f t="shared" si="6"/>
        <v>0.43223293007996721</v>
      </c>
      <c r="R9" s="53">
        <v>10622</v>
      </c>
      <c r="S9" s="53">
        <v>7529</v>
      </c>
      <c r="T9" s="53">
        <v>7122</v>
      </c>
      <c r="U9" s="164">
        <f t="shared" si="7"/>
        <v>-5.4057643777394075E-2</v>
      </c>
      <c r="V9" s="53">
        <v>9873</v>
      </c>
      <c r="W9" s="53">
        <v>8865</v>
      </c>
      <c r="X9" s="53">
        <v>8718</v>
      </c>
      <c r="Y9" s="53">
        <v>8718</v>
      </c>
      <c r="Z9" s="334">
        <v>12970</v>
      </c>
      <c r="AA9" s="231">
        <v>10523</v>
      </c>
      <c r="AB9" s="160">
        <v>11225</v>
      </c>
      <c r="AC9" s="231">
        <f t="shared" si="8"/>
        <v>33465</v>
      </c>
      <c r="AD9" s="231">
        <f t="shared" si="0"/>
        <v>26917</v>
      </c>
      <c r="AE9" s="231">
        <f t="shared" si="0"/>
        <v>27065</v>
      </c>
      <c r="AF9" s="166">
        <f t="shared" si="9"/>
        <v>6.6711013969400365E-2</v>
      </c>
      <c r="AG9" s="232"/>
      <c r="AH9" s="141"/>
      <c r="AI9" s="143"/>
      <c r="AJ9" s="166"/>
      <c r="AK9" s="232"/>
      <c r="AL9" s="97"/>
      <c r="AM9" s="97"/>
      <c r="AN9" s="168"/>
      <c r="AO9" s="196"/>
      <c r="AP9" s="96"/>
      <c r="AQ9" s="239"/>
      <c r="AR9" s="239"/>
      <c r="AS9" s="239"/>
      <c r="AT9" s="239"/>
      <c r="AU9" s="168"/>
      <c r="AV9" s="196"/>
      <c r="AW9" s="96"/>
      <c r="AX9" s="239"/>
      <c r="AY9" s="168"/>
      <c r="AZ9" s="196"/>
      <c r="BA9" s="96"/>
      <c r="BB9" s="239"/>
      <c r="BC9" s="168"/>
      <c r="BD9" s="93"/>
      <c r="BE9" s="153"/>
      <c r="BF9" s="154"/>
      <c r="BG9" s="246"/>
      <c r="BH9" s="246"/>
      <c r="BI9" s="246"/>
      <c r="BJ9" s="169"/>
      <c r="BK9" s="143">
        <f t="shared" si="10"/>
        <v>58976</v>
      </c>
      <c r="BL9" s="143">
        <f t="shared" si="11"/>
        <v>40018</v>
      </c>
      <c r="BM9" s="143">
        <f t="shared" si="12"/>
        <v>42749</v>
      </c>
      <c r="BN9" s="13">
        <f t="shared" si="13"/>
        <v>6.8244290069468735E-2</v>
      </c>
    </row>
    <row r="10" spans="2:69" s="57" customFormat="1">
      <c r="B10" s="249" t="s">
        <v>7</v>
      </c>
      <c r="C10" s="187">
        <f>SUM(C6:C9)</f>
        <v>2371606</v>
      </c>
      <c r="D10" s="187">
        <f>SUM(D6:D9)</f>
        <v>1933119</v>
      </c>
      <c r="E10" s="3">
        <f>SUM(E6:E9)</f>
        <v>2503168</v>
      </c>
      <c r="F10" s="165">
        <f t="shared" si="1"/>
        <v>0.29488562266471957</v>
      </c>
      <c r="G10" s="3">
        <f>SUM(G6:G9)</f>
        <v>1483913</v>
      </c>
      <c r="H10" s="3">
        <f>SUM(H6:H9)</f>
        <v>313025</v>
      </c>
      <c r="I10" s="3">
        <f>SUM(I6:I9)</f>
        <v>1454806</v>
      </c>
      <c r="J10" s="198">
        <f t="shared" si="2"/>
        <v>3.6475712802491813</v>
      </c>
      <c r="K10" s="3">
        <f>SUM(K6:K9)</f>
        <v>2524804</v>
      </c>
      <c r="L10" s="3">
        <f>SUM(L6:L9)</f>
        <v>1443824</v>
      </c>
      <c r="M10" s="3">
        <f>SUM(M6:M9)</f>
        <v>2525691</v>
      </c>
      <c r="N10" s="227">
        <f>SUM(N6:N9)</f>
        <v>6380323</v>
      </c>
      <c r="O10" s="227">
        <f t="shared" ref="O10:P10" si="14">SUM(O6:O9)</f>
        <v>3689968</v>
      </c>
      <c r="P10" s="227">
        <f t="shared" si="14"/>
        <v>6483665</v>
      </c>
      <c r="Q10" s="223">
        <f t="shared" si="6"/>
        <v>0.74930670220193041</v>
      </c>
      <c r="R10" s="289">
        <f>SUM(R6:R9)</f>
        <v>1983592</v>
      </c>
      <c r="S10" s="289">
        <f>SUM(S6:S9)</f>
        <v>2072814</v>
      </c>
      <c r="T10" s="289">
        <f>SUM(T6:T9)</f>
        <v>2251792</v>
      </c>
      <c r="U10" s="164">
        <f t="shared" si="7"/>
        <v>8.6345422213474049E-2</v>
      </c>
      <c r="V10" s="289">
        <f t="shared" ref="V10:AB10" si="15">SUM(V6:V9)</f>
        <v>1916072</v>
      </c>
      <c r="W10" s="289">
        <f t="shared" si="15"/>
        <v>2194815</v>
      </c>
      <c r="X10" s="3">
        <f t="shared" si="15"/>
        <v>2127721</v>
      </c>
      <c r="Y10" s="3">
        <f t="shared" si="15"/>
        <v>2127721</v>
      </c>
      <c r="Z10" s="289">
        <f t="shared" si="15"/>
        <v>2060232</v>
      </c>
      <c r="AA10" s="289">
        <f t="shared" si="15"/>
        <v>2301644</v>
      </c>
      <c r="AB10" s="289">
        <f t="shared" si="15"/>
        <v>2015309</v>
      </c>
      <c r="AC10" s="145">
        <f t="shared" si="8"/>
        <v>5959896</v>
      </c>
      <c r="AD10" s="145">
        <f t="shared" si="0"/>
        <v>6569273</v>
      </c>
      <c r="AE10" s="145">
        <f t="shared" si="0"/>
        <v>6394822</v>
      </c>
      <c r="AF10" s="165">
        <f t="shared" si="9"/>
        <v>-0.12440455604776413</v>
      </c>
      <c r="AG10" s="232"/>
      <c r="AH10" s="3"/>
      <c r="AI10" s="3"/>
      <c r="AJ10" s="167"/>
      <c r="AK10" s="233"/>
      <c r="AL10" s="161"/>
      <c r="AM10" s="161"/>
      <c r="AN10" s="165"/>
      <c r="AO10" s="50"/>
      <c r="AP10" s="241"/>
      <c r="AQ10" s="161"/>
      <c r="AR10" s="244"/>
      <c r="AS10" s="244"/>
      <c r="AT10" s="244"/>
      <c r="AU10" s="165"/>
      <c r="AV10" s="50"/>
      <c r="AW10" s="241"/>
      <c r="AX10" s="161"/>
      <c r="AY10" s="165"/>
      <c r="AZ10" s="50"/>
      <c r="BA10" s="241"/>
      <c r="BB10" s="161"/>
      <c r="BC10" s="168"/>
      <c r="BD10" s="93"/>
      <c r="BE10" s="161"/>
      <c r="BF10" s="161"/>
      <c r="BG10" s="244"/>
      <c r="BH10" s="244"/>
      <c r="BI10" s="244"/>
      <c r="BJ10" s="169"/>
      <c r="BK10" s="3">
        <f t="shared" si="10"/>
        <v>12340219</v>
      </c>
      <c r="BL10" s="3">
        <f>SUM(D10,H10,L10,S10,W10,AA10,AH10,AL10,AP10,AW10,BA10,BE10)</f>
        <v>10259241</v>
      </c>
      <c r="BM10" s="3">
        <f>SUM(E10,I10,M10,T10,X10,AB10,AI10,AM10,AQ10,AX10,BB10,BF10)</f>
        <v>12878487</v>
      </c>
      <c r="BN10" s="14">
        <f t="shared" si="13"/>
        <v>0.25530602117642037</v>
      </c>
      <c r="BO10" s="51"/>
      <c r="BP10" s="51"/>
      <c r="BQ10" s="51"/>
    </row>
    <row r="12" spans="2:69">
      <c r="B12" s="51" t="s">
        <v>37</v>
      </c>
      <c r="BL12" s="142"/>
      <c r="BM12" s="142"/>
    </row>
    <row r="13" spans="2:69">
      <c r="AL13" s="63"/>
      <c r="AM13" s="63"/>
      <c r="AP13" s="63"/>
      <c r="AQ13" s="63"/>
      <c r="AR13" s="63"/>
      <c r="AS13" s="63"/>
      <c r="AT13" s="63"/>
      <c r="AW13" s="63"/>
      <c r="AX13" s="63"/>
      <c r="BA13" s="63"/>
      <c r="BB13" s="63"/>
      <c r="BL13" s="142"/>
      <c r="BM13" s="142"/>
    </row>
    <row r="14" spans="2:69">
      <c r="B14" s="39" t="s">
        <v>38</v>
      </c>
      <c r="C14" s="39"/>
      <c r="D14" s="63" t="s">
        <v>39</v>
      </c>
      <c r="E14" s="63"/>
      <c r="F14" s="37"/>
      <c r="G14" s="37"/>
      <c r="H14" s="63"/>
      <c r="I14" s="63"/>
      <c r="J14" s="37"/>
      <c r="K14" s="37"/>
      <c r="Q14" s="37"/>
      <c r="R14" s="37"/>
      <c r="S14" s="37"/>
      <c r="T14" s="37"/>
      <c r="U14" s="37"/>
      <c r="V14" s="37"/>
      <c r="Y14" s="37"/>
      <c r="Z14" s="37"/>
      <c r="AF14" s="37"/>
      <c r="AG14" s="37"/>
      <c r="AJ14" s="37"/>
      <c r="AK14" s="37"/>
      <c r="AN14" s="37"/>
      <c r="AO14" s="37"/>
      <c r="AU14" s="37"/>
      <c r="AV14" s="37"/>
      <c r="AY14" s="37"/>
      <c r="AZ14" s="37"/>
      <c r="BC14" s="37"/>
      <c r="BD14" s="37"/>
      <c r="BJ14" s="37"/>
      <c r="BK14" s="37"/>
    </row>
    <row r="15" spans="2:69">
      <c r="R15" s="37"/>
      <c r="S15" s="37"/>
      <c r="T15" s="37"/>
      <c r="U15" s="37"/>
      <c r="AL15" s="142"/>
      <c r="AM15" s="142"/>
      <c r="AP15" s="142"/>
      <c r="AQ15" s="142"/>
      <c r="AR15" s="142"/>
      <c r="AS15" s="142"/>
      <c r="AT15" s="142"/>
      <c r="AW15" s="142"/>
      <c r="AX15" s="142"/>
      <c r="BA15" s="142"/>
      <c r="BB15" s="142"/>
    </row>
    <row r="16" spans="2:69">
      <c r="F16" s="51"/>
      <c r="G16" s="51"/>
      <c r="I16" s="142"/>
      <c r="J16" s="62"/>
      <c r="K16" s="62"/>
      <c r="Q16" s="62"/>
      <c r="R16" s="37"/>
      <c r="S16" s="37"/>
      <c r="T16" s="37"/>
      <c r="U16" s="37"/>
      <c r="V16" s="62"/>
      <c r="Y16" s="62"/>
      <c r="Z16" s="62"/>
      <c r="AF16" s="62"/>
      <c r="AG16" s="62"/>
      <c r="AJ16" s="62"/>
      <c r="AK16" s="62"/>
      <c r="AL16" s="142"/>
      <c r="AM16" s="142"/>
      <c r="AN16" s="62"/>
      <c r="AO16" s="62"/>
      <c r="AP16" s="142"/>
      <c r="AQ16" s="142"/>
      <c r="AR16" s="142"/>
      <c r="AS16" s="142"/>
      <c r="AT16" s="142"/>
      <c r="AU16" s="62"/>
      <c r="AV16" s="62"/>
      <c r="AW16" s="142"/>
      <c r="AX16" s="142"/>
      <c r="AY16" s="62"/>
      <c r="AZ16" s="62"/>
      <c r="BA16" s="142"/>
      <c r="BB16" s="142"/>
      <c r="BC16" s="62"/>
      <c r="BD16" s="62"/>
      <c r="BJ16" s="62"/>
      <c r="BK16" s="62"/>
    </row>
    <row r="17" spans="6:63">
      <c r="F17" s="51"/>
      <c r="G17" s="51"/>
      <c r="I17" s="142"/>
      <c r="J17" s="62"/>
      <c r="K17" s="62"/>
      <c r="Q17" s="62"/>
      <c r="R17" s="37"/>
      <c r="S17" s="37"/>
      <c r="T17" s="37"/>
      <c r="U17" s="37"/>
      <c r="V17" s="62"/>
      <c r="Y17" s="62"/>
      <c r="Z17" s="62"/>
      <c r="AF17" s="62"/>
      <c r="AG17" s="62"/>
      <c r="AJ17" s="62"/>
      <c r="AK17" s="62"/>
      <c r="AL17" s="142"/>
      <c r="AM17" s="142"/>
      <c r="AN17" s="62"/>
      <c r="AO17" s="62"/>
      <c r="AP17" s="142"/>
      <c r="AQ17" s="142"/>
      <c r="AR17" s="142"/>
      <c r="AS17" s="142"/>
      <c r="AT17" s="142"/>
      <c r="AU17" s="62"/>
      <c r="AV17" s="62"/>
      <c r="AW17" s="142"/>
      <c r="AX17" s="142"/>
      <c r="AY17" s="62"/>
      <c r="AZ17" s="62"/>
      <c r="BA17" s="142"/>
      <c r="BB17" s="142"/>
      <c r="BC17" s="62"/>
      <c r="BD17" s="62"/>
      <c r="BJ17" s="62"/>
      <c r="BK17" s="62"/>
    </row>
    <row r="18" spans="6:63">
      <c r="F18" s="51"/>
      <c r="G18" s="51"/>
      <c r="I18" s="142"/>
      <c r="J18" s="62"/>
      <c r="K18" s="62"/>
      <c r="Q18" s="62"/>
      <c r="R18" s="37"/>
      <c r="S18" s="37"/>
      <c r="T18" s="37"/>
      <c r="U18" s="37"/>
      <c r="V18" s="62"/>
      <c r="Y18" s="62"/>
      <c r="Z18" s="62"/>
      <c r="AF18" s="62"/>
      <c r="AG18" s="62"/>
      <c r="AJ18" s="62"/>
      <c r="AK18" s="62"/>
      <c r="AL18" s="142"/>
      <c r="AM18" s="142"/>
      <c r="AN18" s="62"/>
      <c r="AO18" s="62"/>
      <c r="AP18" s="142"/>
      <c r="AQ18" s="142"/>
      <c r="AR18" s="142"/>
      <c r="AS18" s="142"/>
      <c r="AT18" s="142"/>
      <c r="AU18" s="62"/>
      <c r="AV18" s="62"/>
      <c r="AW18" s="142"/>
      <c r="AX18" s="142"/>
      <c r="AY18" s="62"/>
      <c r="AZ18" s="62"/>
      <c r="BA18" s="142"/>
      <c r="BB18" s="142"/>
      <c r="BC18" s="62"/>
      <c r="BD18" s="62"/>
      <c r="BJ18" s="62"/>
      <c r="BK18" s="62"/>
    </row>
    <row r="19" spans="6:63">
      <c r="F19" s="51"/>
      <c r="G19" s="51"/>
      <c r="I19" s="142"/>
      <c r="J19" s="62"/>
      <c r="K19" s="62"/>
      <c r="Q19" s="62"/>
      <c r="R19" s="37"/>
      <c r="S19" s="37"/>
      <c r="T19" s="37"/>
      <c r="U19" s="37"/>
      <c r="V19" s="62"/>
      <c r="Y19" s="62"/>
      <c r="Z19" s="62"/>
      <c r="AF19" s="62"/>
      <c r="AG19" s="62"/>
      <c r="AJ19" s="62"/>
      <c r="AK19" s="62"/>
      <c r="AL19" s="142"/>
      <c r="AM19" s="142"/>
      <c r="AN19" s="62"/>
      <c r="AO19" s="62"/>
      <c r="AP19" s="142"/>
      <c r="AQ19" s="142"/>
      <c r="AR19" s="142"/>
      <c r="AS19" s="142"/>
      <c r="AT19" s="142"/>
      <c r="AU19" s="62"/>
      <c r="AV19" s="62"/>
      <c r="AW19" s="142"/>
      <c r="AX19" s="142"/>
      <c r="AY19" s="62"/>
      <c r="AZ19" s="62"/>
      <c r="BA19" s="142"/>
      <c r="BB19" s="142"/>
      <c r="BC19" s="62"/>
      <c r="BD19" s="62"/>
      <c r="BJ19" s="62"/>
      <c r="BK19" s="62"/>
    </row>
    <row r="20" spans="6:63">
      <c r="F20" s="51"/>
      <c r="G20" s="51"/>
      <c r="I20" s="142"/>
      <c r="J20" s="62"/>
      <c r="K20" s="62"/>
      <c r="Q20" s="62"/>
      <c r="R20" s="62"/>
      <c r="U20" s="62"/>
      <c r="V20" s="62"/>
      <c r="Y20" s="62"/>
      <c r="Z20" s="62"/>
      <c r="AF20" s="62"/>
      <c r="AG20" s="62"/>
      <c r="AJ20" s="62"/>
      <c r="AK20" s="62"/>
      <c r="AL20" s="142"/>
      <c r="AM20" s="142"/>
      <c r="AN20" s="62"/>
      <c r="AO20" s="62"/>
      <c r="AP20" s="142"/>
      <c r="AQ20" s="142"/>
      <c r="AR20" s="142"/>
      <c r="AS20" s="142"/>
      <c r="AT20" s="142"/>
      <c r="AU20" s="62"/>
      <c r="AV20" s="62"/>
      <c r="AW20" s="142"/>
      <c r="AX20" s="142"/>
      <c r="AY20" s="62"/>
      <c r="AZ20" s="62"/>
      <c r="BA20" s="142"/>
      <c r="BB20" s="142"/>
      <c r="BC20" s="62"/>
      <c r="BD20" s="62"/>
      <c r="BJ20" s="62"/>
      <c r="BK20" s="62"/>
    </row>
    <row r="21" spans="6:63">
      <c r="F21" s="51"/>
      <c r="G21" s="51"/>
      <c r="I21" s="142"/>
      <c r="J21" s="62"/>
      <c r="K21" s="62"/>
      <c r="Q21" s="62"/>
      <c r="R21" s="62"/>
      <c r="U21" s="62"/>
      <c r="V21" s="62"/>
      <c r="Y21" s="62"/>
      <c r="Z21" s="62"/>
      <c r="AF21" s="62"/>
      <c r="AG21" s="62"/>
      <c r="AJ21" s="62"/>
      <c r="AK21" s="62"/>
      <c r="AN21" s="62"/>
      <c r="AO21" s="62"/>
      <c r="AU21" s="62"/>
      <c r="AV21" s="62"/>
      <c r="AY21" s="62"/>
      <c r="AZ21" s="62"/>
      <c r="BC21" s="62"/>
      <c r="BD21" s="62"/>
      <c r="BJ21" s="62"/>
      <c r="BK21" s="62"/>
    </row>
    <row r="22" spans="6:63">
      <c r="F22" s="51"/>
      <c r="G22" s="51"/>
    </row>
    <row r="23" spans="6:63">
      <c r="F23" s="51"/>
      <c r="G23" s="51"/>
    </row>
    <row r="24" spans="6:63">
      <c r="F24" s="51"/>
      <c r="G24" s="51"/>
    </row>
  </sheetData>
  <mergeCells count="17">
    <mergeCell ref="BK4:BM4"/>
    <mergeCell ref="AR4:AT4"/>
    <mergeCell ref="AV4:AX4"/>
    <mergeCell ref="AZ4:BB4"/>
    <mergeCell ref="BD4:BF4"/>
    <mergeCell ref="BG4:BI4"/>
    <mergeCell ref="C4:E4"/>
    <mergeCell ref="G4:I4"/>
    <mergeCell ref="K4:M4"/>
    <mergeCell ref="N4:P4"/>
    <mergeCell ref="R4:T4"/>
    <mergeCell ref="AO4:AQ4"/>
    <mergeCell ref="V4:X4"/>
    <mergeCell ref="Z4:AB4"/>
    <mergeCell ref="AC4:AE4"/>
    <mergeCell ref="AG4:AI4"/>
    <mergeCell ref="AK4:AM4"/>
  </mergeCells>
  <pageMargins left="0.7" right="0.7" top="0.78740157499999996" bottom="0.78740157499999996" header="0.3" footer="0.3"/>
  <pageSetup paperSize="9" orientation="portrait" verticalDpi="0" r:id="rId1"/>
  <ignoredErrors>
    <ignoredError sqref="D10:E10 G10:I10 K10:M10 R10:T10 V10:W10 Z10:AB10 X10:Y10" formulaRange="1"/>
    <ignoredError sqref="F10 J10 Q10 U1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04A6-C3F5-4BD0-A9D7-E4DC032778B9}">
  <dimension ref="A1:BQ28"/>
  <sheetViews>
    <sheetView topLeftCell="B1" zoomScaleNormal="100" workbookViewId="0">
      <pane xSplit="1" topLeftCell="AW1" activePane="topRight" state="frozen"/>
      <selection activeCell="G14" sqref="G14"/>
      <selection pane="topRight" activeCell="BL13" sqref="BL13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10.8554687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425781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0" style="21" customWidth="1"/>
    <col min="22" max="22" width="10.42578125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9.28515625" style="51" customWidth="1"/>
    <col min="27" max="27" width="10.42578125" style="21" customWidth="1"/>
    <col min="28" max="28" width="11.42578125" style="21" customWidth="1"/>
    <col min="29" max="29" width="10.28515625" style="51" customWidth="1"/>
    <col min="30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28515625" style="21" customWidth="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56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63">
        <f>VLOOKUP(B6,[1]Croatia!$B$4:$D$9,2,FALSE)</f>
        <v>3565</v>
      </c>
      <c r="D6" s="185">
        <v>3717</v>
      </c>
      <c r="E6" s="31">
        <v>2915</v>
      </c>
      <c r="F6" s="198">
        <f>(E6-D6)/D6</f>
        <v>-0.21576540220608018</v>
      </c>
      <c r="G6" s="53">
        <v>3559</v>
      </c>
      <c r="H6" s="53">
        <v>3576</v>
      </c>
      <c r="I6" s="31">
        <v>3421</v>
      </c>
      <c r="J6" s="206">
        <f>(I6-H6)/H6</f>
        <v>-4.3344519015659957E-2</v>
      </c>
      <c r="K6" s="53">
        <v>5049</v>
      </c>
      <c r="L6" s="53">
        <v>2716</v>
      </c>
      <c r="M6" s="214">
        <v>4149</v>
      </c>
      <c r="N6" s="53">
        <f>SUM(C6,G6,K6)</f>
        <v>12173</v>
      </c>
      <c r="O6" s="53">
        <f>SUM(D6,H6,L6)</f>
        <v>10009</v>
      </c>
      <c r="P6" s="53">
        <f>SUM(E6,I6,M6)</f>
        <v>10485</v>
      </c>
      <c r="Q6" s="222">
        <f>(M6-L6)/L6</f>
        <v>0.52761413843888072</v>
      </c>
      <c r="R6" s="53">
        <v>8650</v>
      </c>
      <c r="S6" s="53">
        <v>1077</v>
      </c>
      <c r="T6" s="53">
        <v>4147</v>
      </c>
      <c r="U6" s="49">
        <f>(T6-S6)/S6</f>
        <v>2.8505106778087281</v>
      </c>
      <c r="V6" s="53">
        <v>9161</v>
      </c>
      <c r="W6" s="31">
        <v>2177</v>
      </c>
      <c r="X6" s="31">
        <v>4467</v>
      </c>
      <c r="Y6" s="49">
        <f>(X6-W6)/W6</f>
        <v>1.0519062930638494</v>
      </c>
      <c r="Z6" s="53">
        <v>8235</v>
      </c>
      <c r="AA6" s="53">
        <v>4168</v>
      </c>
      <c r="AB6" s="31">
        <v>6887</v>
      </c>
      <c r="AC6" s="53">
        <f>SUM(R6,V6,Z6)</f>
        <v>26046</v>
      </c>
      <c r="AD6" s="53">
        <f>SUM(S6,W6,AA6)</f>
        <v>7422</v>
      </c>
      <c r="AE6" s="53">
        <f>SUM(T6,X6,AB6)</f>
        <v>15501</v>
      </c>
      <c r="AF6" s="49">
        <f>(AB6-AA6)/AA6</f>
        <v>0.65235124760076779</v>
      </c>
      <c r="AG6" s="49"/>
      <c r="AH6" s="31"/>
      <c r="AI6" s="53"/>
      <c r="AJ6" s="49"/>
      <c r="AK6" s="49"/>
      <c r="AL6" s="53"/>
      <c r="AM6" s="52"/>
      <c r="AN6" s="49"/>
      <c r="AO6" s="49"/>
      <c r="AP6" s="53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55"/>
      <c r="BF6" s="53"/>
      <c r="BG6" s="53"/>
      <c r="BH6" s="53"/>
      <c r="BI6" s="53"/>
      <c r="BJ6" s="49"/>
      <c r="BK6" s="145">
        <f t="shared" ref="BK6:BL10" si="0">SUM(C6,G6,K6,R6,V6,Z6,AG6,AK6,AO6,AV6,AZ6,BD6)</f>
        <v>38219</v>
      </c>
      <c r="BL6" s="145">
        <f t="shared" si="0"/>
        <v>17431</v>
      </c>
      <c r="BM6" s="145">
        <f t="shared" ref="BM6:BM9" si="1">SUM(E6,I6,M6,T6,X6,AB6,AI6,AM6,AQ6,AX6,BB6,BF6)</f>
        <v>25986</v>
      </c>
      <c r="BN6" s="59">
        <f>(BM6-BL6)/BL6</f>
        <v>0.49079226665136827</v>
      </c>
    </row>
    <row r="7" spans="2:69">
      <c r="B7" s="248" t="s">
        <v>3</v>
      </c>
      <c r="C7" s="263">
        <f>VLOOKUP(B7,[1]Croatia!$B$4:$D$9,2,FALSE)</f>
        <v>847</v>
      </c>
      <c r="D7" s="185">
        <v>633</v>
      </c>
      <c r="E7" s="31">
        <v>533</v>
      </c>
      <c r="F7" s="198">
        <f>(E7-D7)/D7</f>
        <v>-0.15797788309636651</v>
      </c>
      <c r="G7" s="53">
        <v>635</v>
      </c>
      <c r="H7" s="53">
        <v>732</v>
      </c>
      <c r="I7" s="31">
        <v>860</v>
      </c>
      <c r="J7" s="206">
        <f t="shared" ref="J7:J10" si="2">(I7-H7)/H7</f>
        <v>0.17486338797814208</v>
      </c>
      <c r="K7" s="53">
        <v>756</v>
      </c>
      <c r="L7" s="53">
        <v>539</v>
      </c>
      <c r="M7" s="214">
        <v>831</v>
      </c>
      <c r="N7" s="53">
        <f t="shared" ref="N7:N9" si="3">SUM(C7,G7,K7)</f>
        <v>2238</v>
      </c>
      <c r="O7" s="53">
        <f t="shared" ref="O7:O9" si="4">SUM(D7,H7,L7)</f>
        <v>1904</v>
      </c>
      <c r="P7" s="53">
        <f t="shared" ref="P7:P9" si="5">SUM(E7,I7,M7)</f>
        <v>2224</v>
      </c>
      <c r="Q7" s="222">
        <f t="shared" ref="Q7:Q10" si="6">(M7-L7)/L7</f>
        <v>0.54174397031539889</v>
      </c>
      <c r="R7" s="53">
        <v>911</v>
      </c>
      <c r="S7" s="31">
        <v>287</v>
      </c>
      <c r="T7" s="23">
        <v>628</v>
      </c>
      <c r="U7" s="49">
        <f t="shared" ref="U7:U10" si="7">(T7-S7)/S7</f>
        <v>1.1881533101045296</v>
      </c>
      <c r="V7" s="53">
        <v>998</v>
      </c>
      <c r="W7" s="31">
        <v>452</v>
      </c>
      <c r="X7" s="31">
        <v>760</v>
      </c>
      <c r="Y7" s="49">
        <f t="shared" ref="Y7:Y10" si="8">(X7-W7)/W7</f>
        <v>0.68141592920353977</v>
      </c>
      <c r="Z7" s="53">
        <v>878</v>
      </c>
      <c r="AA7" s="53">
        <v>548</v>
      </c>
      <c r="AB7" s="31">
        <v>683</v>
      </c>
      <c r="AC7" s="53">
        <f t="shared" ref="AC7:AC10" si="9">SUM(R7,V7,Z7)</f>
        <v>2787</v>
      </c>
      <c r="AD7" s="53">
        <f t="shared" ref="AD7:AD10" si="10">SUM(S7,W7,AA7)</f>
        <v>1287</v>
      </c>
      <c r="AE7" s="53">
        <f t="shared" ref="AE7:AE10" si="11">SUM(T7,X7,AB7)</f>
        <v>2071</v>
      </c>
      <c r="AF7" s="49">
        <f t="shared" ref="AF7:AF10" si="12">(AB7-AA7)/AA7</f>
        <v>0.24635036496350365</v>
      </c>
      <c r="AG7" s="49"/>
      <c r="AH7" s="31"/>
      <c r="AI7" s="53"/>
      <c r="AJ7" s="49"/>
      <c r="AK7" s="49"/>
      <c r="AL7" s="53"/>
      <c r="AM7" s="52"/>
      <c r="AN7" s="49"/>
      <c r="AO7" s="49"/>
      <c r="AP7" s="53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55"/>
      <c r="BF7" s="53"/>
      <c r="BG7" s="53"/>
      <c r="BH7" s="53"/>
      <c r="BI7" s="53"/>
      <c r="BJ7" s="49"/>
      <c r="BK7" s="145">
        <f t="shared" si="0"/>
        <v>5025</v>
      </c>
      <c r="BL7" s="145">
        <f t="shared" si="0"/>
        <v>3191</v>
      </c>
      <c r="BM7" s="145">
        <f t="shared" si="1"/>
        <v>4295</v>
      </c>
      <c r="BN7" s="32">
        <f>(BM7-BL7)/BL7</f>
        <v>0.34597304920087746</v>
      </c>
    </row>
    <row r="8" spans="2:69">
      <c r="B8" s="248" t="s">
        <v>4</v>
      </c>
      <c r="C8" s="263">
        <f>VLOOKUP(B8,[1]Croatia!$B$4:$D$9,2,FALSE)</f>
        <v>149</v>
      </c>
      <c r="D8" s="185">
        <v>101</v>
      </c>
      <c r="E8" s="31">
        <v>78</v>
      </c>
      <c r="F8" s="198">
        <f>(E8-D8)/D8</f>
        <v>-0.22772277227722773</v>
      </c>
      <c r="G8" s="53">
        <v>106</v>
      </c>
      <c r="H8" s="53">
        <v>74</v>
      </c>
      <c r="I8" s="31">
        <v>97</v>
      </c>
      <c r="J8" s="206">
        <f t="shared" si="2"/>
        <v>0.3108108108108108</v>
      </c>
      <c r="K8" s="53">
        <v>110</v>
      </c>
      <c r="L8" s="53">
        <v>62</v>
      </c>
      <c r="M8" s="214">
        <v>136</v>
      </c>
      <c r="N8" s="53">
        <f t="shared" si="3"/>
        <v>365</v>
      </c>
      <c r="O8" s="53">
        <f t="shared" si="4"/>
        <v>237</v>
      </c>
      <c r="P8" s="53">
        <f t="shared" si="5"/>
        <v>311</v>
      </c>
      <c r="Q8" s="222">
        <f t="shared" si="6"/>
        <v>1.1935483870967742</v>
      </c>
      <c r="R8" s="53">
        <v>115</v>
      </c>
      <c r="S8" s="31">
        <v>72</v>
      </c>
      <c r="T8" s="31">
        <v>125</v>
      </c>
      <c r="U8" s="49">
        <f t="shared" si="7"/>
        <v>0.73611111111111116</v>
      </c>
      <c r="V8" s="53">
        <v>185</v>
      </c>
      <c r="W8" s="31">
        <v>62</v>
      </c>
      <c r="X8" s="31">
        <v>134</v>
      </c>
      <c r="Y8" s="49">
        <f t="shared" si="8"/>
        <v>1.1612903225806452</v>
      </c>
      <c r="Z8" s="53">
        <v>238</v>
      </c>
      <c r="AA8" s="52">
        <v>63</v>
      </c>
      <c r="AB8" s="10">
        <v>123</v>
      </c>
      <c r="AC8" s="53">
        <f t="shared" si="9"/>
        <v>538</v>
      </c>
      <c r="AD8" s="53">
        <f t="shared" si="10"/>
        <v>197</v>
      </c>
      <c r="AE8" s="53">
        <f t="shared" si="11"/>
        <v>382</v>
      </c>
      <c r="AF8" s="49">
        <f t="shared" si="12"/>
        <v>0.95238095238095233</v>
      </c>
      <c r="AG8" s="49"/>
      <c r="AH8" s="31"/>
      <c r="AI8" s="53"/>
      <c r="AJ8" s="49"/>
      <c r="AK8" s="49"/>
      <c r="AL8" s="53"/>
      <c r="AM8" s="52"/>
      <c r="AN8" s="49"/>
      <c r="AO8" s="49"/>
      <c r="AP8" s="53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31"/>
      <c r="BB8" s="53"/>
      <c r="BC8" s="49"/>
      <c r="BD8" s="49"/>
      <c r="BE8" s="55"/>
      <c r="BF8" s="53"/>
      <c r="BG8" s="53"/>
      <c r="BH8" s="53"/>
      <c r="BI8" s="53"/>
      <c r="BJ8" s="49"/>
      <c r="BK8" s="145">
        <f t="shared" si="0"/>
        <v>903</v>
      </c>
      <c r="BL8" s="145">
        <f t="shared" si="0"/>
        <v>434</v>
      </c>
      <c r="BM8" s="145">
        <f t="shared" si="1"/>
        <v>693</v>
      </c>
      <c r="BN8" s="32">
        <f>(BM8-BL8)/BL8</f>
        <v>0.59677419354838712</v>
      </c>
    </row>
    <row r="9" spans="2:69">
      <c r="B9" s="248" t="s">
        <v>5</v>
      </c>
      <c r="C9" s="263">
        <f>VLOOKUP(B9,[1]Croatia!$B$4:$D$9,2,FALSE)</f>
        <v>17</v>
      </c>
      <c r="D9" s="185">
        <v>12</v>
      </c>
      <c r="E9" s="31">
        <v>0</v>
      </c>
      <c r="F9" s="198">
        <f>(E9-D9)/D9</f>
        <v>-1</v>
      </c>
      <c r="G9" s="53">
        <v>12</v>
      </c>
      <c r="H9" s="53">
        <v>10</v>
      </c>
      <c r="I9" s="31">
        <v>15</v>
      </c>
      <c r="J9" s="206">
        <f t="shared" si="2"/>
        <v>0.5</v>
      </c>
      <c r="K9" s="53">
        <v>18</v>
      </c>
      <c r="L9" s="53">
        <v>4</v>
      </c>
      <c r="M9" s="214">
        <v>13</v>
      </c>
      <c r="N9" s="53">
        <f t="shared" si="3"/>
        <v>47</v>
      </c>
      <c r="O9" s="53">
        <f t="shared" si="4"/>
        <v>26</v>
      </c>
      <c r="P9" s="53">
        <f t="shared" si="5"/>
        <v>28</v>
      </c>
      <c r="Q9" s="222">
        <f t="shared" si="6"/>
        <v>2.25</v>
      </c>
      <c r="R9" s="53">
        <v>71</v>
      </c>
      <c r="S9" s="31">
        <v>0</v>
      </c>
      <c r="T9" s="31">
        <v>14</v>
      </c>
      <c r="U9" s="49"/>
      <c r="V9" s="53">
        <v>27</v>
      </c>
      <c r="W9" s="31">
        <v>0</v>
      </c>
      <c r="X9" s="31">
        <v>5</v>
      </c>
      <c r="Y9" s="49"/>
      <c r="Z9" s="52">
        <v>33</v>
      </c>
      <c r="AA9" s="52">
        <v>0</v>
      </c>
      <c r="AB9" s="10">
        <v>32</v>
      </c>
      <c r="AC9" s="53">
        <f t="shared" si="9"/>
        <v>131</v>
      </c>
      <c r="AD9" s="53">
        <f t="shared" si="10"/>
        <v>0</v>
      </c>
      <c r="AE9" s="53">
        <f t="shared" si="11"/>
        <v>51</v>
      </c>
      <c r="AF9" s="49"/>
      <c r="AG9" s="49"/>
      <c r="AH9" s="10"/>
      <c r="AI9" s="53"/>
      <c r="AJ9" s="49"/>
      <c r="AK9" s="49"/>
      <c r="AL9" s="53"/>
      <c r="AM9" s="52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35"/>
      <c r="BF9" s="53"/>
      <c r="BG9" s="53"/>
      <c r="BH9" s="53"/>
      <c r="BI9" s="53"/>
      <c r="BJ9" s="49"/>
      <c r="BK9" s="145">
        <f t="shared" si="0"/>
        <v>178</v>
      </c>
      <c r="BL9" s="145">
        <f t="shared" si="0"/>
        <v>26</v>
      </c>
      <c r="BM9" s="145">
        <f t="shared" si="1"/>
        <v>79</v>
      </c>
      <c r="BN9" s="32">
        <f>(BM9-BL9)/BL9</f>
        <v>2.0384615384615383</v>
      </c>
    </row>
    <row r="10" spans="2:69" s="9" customFormat="1">
      <c r="B10" s="249" t="s">
        <v>7</v>
      </c>
      <c r="C10" s="187">
        <f>SUM(C6:C9)</f>
        <v>4578</v>
      </c>
      <c r="D10" s="187">
        <f>SUM(D6:D9)</f>
        <v>4463</v>
      </c>
      <c r="E10" s="15">
        <f>SUM(E6:E9)</f>
        <v>3526</v>
      </c>
      <c r="F10" s="50">
        <f>(E10-D10)/D10</f>
        <v>-0.2099484651579655</v>
      </c>
      <c r="G10" s="145">
        <f>SUM(G6:G9)</f>
        <v>4312</v>
      </c>
      <c r="H10" s="15">
        <f>SUM(H6:H9)</f>
        <v>4392</v>
      </c>
      <c r="I10" s="15">
        <f>SUM(I6:I9)</f>
        <v>4393</v>
      </c>
      <c r="J10" s="207">
        <f t="shared" si="2"/>
        <v>2.2768670309653916E-4</v>
      </c>
      <c r="K10" s="145">
        <f>SUM(K6:K9)</f>
        <v>5933</v>
      </c>
      <c r="L10" s="15">
        <f>SUM(L6:L9)</f>
        <v>3321</v>
      </c>
      <c r="M10" s="15">
        <f>SUM(M6:M9)</f>
        <v>5129</v>
      </c>
      <c r="N10" s="227">
        <f>SUM(N6:N9)</f>
        <v>14823</v>
      </c>
      <c r="O10" s="227">
        <f t="shared" ref="O10:P10" si="13">SUM(O6:O9)</f>
        <v>12176</v>
      </c>
      <c r="P10" s="227">
        <f t="shared" si="13"/>
        <v>13048</v>
      </c>
      <c r="Q10" s="223">
        <f t="shared" si="6"/>
        <v>0.5444143330322192</v>
      </c>
      <c r="R10" s="145">
        <f>SUM(R6:R9)</f>
        <v>9747</v>
      </c>
      <c r="S10" s="145">
        <f>SUM(S6:S9)</f>
        <v>1436</v>
      </c>
      <c r="T10" s="145">
        <f>SUM(T6:T9)</f>
        <v>4914</v>
      </c>
      <c r="U10" s="49">
        <f t="shared" si="7"/>
        <v>2.4220055710306405</v>
      </c>
      <c r="V10" s="145">
        <f>SUM(V6:V9)</f>
        <v>10371</v>
      </c>
      <c r="W10" s="15">
        <f>SUM(W6:W9)</f>
        <v>2691</v>
      </c>
      <c r="X10" s="145">
        <f>SUM(X6:X9)</f>
        <v>5366</v>
      </c>
      <c r="Y10" s="49">
        <f t="shared" si="8"/>
        <v>0.99405425492382016</v>
      </c>
      <c r="Z10" s="289">
        <f>SUM(Z6:Z9)</f>
        <v>9384</v>
      </c>
      <c r="AA10" s="289">
        <f>SUM(AA6:AA9)</f>
        <v>4779</v>
      </c>
      <c r="AB10" s="289">
        <f>SUM(AB6:AB9)</f>
        <v>7725</v>
      </c>
      <c r="AC10" s="88">
        <f t="shared" si="9"/>
        <v>29502</v>
      </c>
      <c r="AD10" s="145">
        <f t="shared" si="10"/>
        <v>8906</v>
      </c>
      <c r="AE10" s="145">
        <f t="shared" si="11"/>
        <v>18005</v>
      </c>
      <c r="AF10" s="50">
        <f t="shared" si="12"/>
        <v>0.61644695543000627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145"/>
      <c r="BC10" s="50"/>
      <c r="BD10" s="50"/>
      <c r="BE10" s="145"/>
      <c r="BF10" s="145"/>
      <c r="BG10" s="145"/>
      <c r="BH10" s="145"/>
      <c r="BI10" s="145"/>
      <c r="BJ10" s="50"/>
      <c r="BK10" s="145">
        <f t="shared" si="0"/>
        <v>44325</v>
      </c>
      <c r="BL10" s="54">
        <f>SUM(D10,H10,L10,S10,W10,AA10,AH10,AL10,AP10,AW10,BA10,BE10)</f>
        <v>21082</v>
      </c>
      <c r="BM10" s="145">
        <f>SUM(E10,I10,M10,T10,X10,AB10,AI10,AM10,AQ10,AX10,BB10,BF10)</f>
        <v>31053</v>
      </c>
      <c r="BN10" s="30">
        <f>(BM10-BL10)/BL10</f>
        <v>0.47296271700977138</v>
      </c>
      <c r="BP10" s="21"/>
      <c r="BQ10" s="20"/>
    </row>
    <row r="11" spans="2:69">
      <c r="BK11" s="142"/>
    </row>
    <row r="12" spans="2:69">
      <c r="B12" s="21" t="s">
        <v>57</v>
      </c>
      <c r="BL12" s="142"/>
    </row>
    <row r="13" spans="2:69">
      <c r="B13" s="142"/>
      <c r="C13" s="142"/>
      <c r="D13" s="142"/>
      <c r="E13" s="142"/>
      <c r="F13" s="142"/>
      <c r="G13" s="142"/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51"/>
      <c r="BA13" s="51"/>
      <c r="BB13" s="51"/>
      <c r="BC13" s="51"/>
      <c r="BE13" s="51"/>
      <c r="BF13" s="51"/>
      <c r="BJ13" s="51"/>
      <c r="BM13" s="142"/>
    </row>
    <row r="14" spans="2:69">
      <c r="B14" s="142"/>
      <c r="C14" s="142"/>
      <c r="D14" s="142"/>
      <c r="E14" s="142"/>
      <c r="F14" s="142"/>
      <c r="G14" s="142"/>
      <c r="H14" s="22"/>
      <c r="I14" s="22"/>
      <c r="M14" s="305"/>
      <c r="AY14" s="51"/>
      <c r="BA14" s="51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</row>
    <row r="15" spans="2:69">
      <c r="B15" s="142"/>
      <c r="C15" s="142"/>
      <c r="D15" s="142"/>
      <c r="E15" s="142"/>
      <c r="F15" s="142"/>
      <c r="G15" s="142"/>
      <c r="M15" s="305"/>
      <c r="AB15" s="51"/>
      <c r="AF15" s="64"/>
      <c r="AG15" s="142"/>
      <c r="AH15" s="51"/>
      <c r="AI15" s="51"/>
      <c r="AJ15" s="51"/>
      <c r="AL15" s="51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51"/>
      <c r="BA15" s="51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</row>
    <row r="16" spans="2:69">
      <c r="B16" s="142"/>
      <c r="C16" s="142"/>
      <c r="D16" s="142"/>
      <c r="E16" s="142"/>
      <c r="F16" s="142"/>
      <c r="G16" s="142"/>
      <c r="H16" s="23"/>
      <c r="I16" s="23"/>
      <c r="M16" s="30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64"/>
      <c r="AN16" s="64"/>
      <c r="AO16" s="142"/>
      <c r="AP16" s="64"/>
      <c r="AQ16" s="64"/>
      <c r="AR16" s="142"/>
      <c r="AS16" s="142"/>
      <c r="AT16" s="142"/>
      <c r="AU16" s="51"/>
      <c r="AW16" s="64"/>
      <c r="AX16" s="23"/>
      <c r="AY16" s="51"/>
      <c r="BA16" s="51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</row>
    <row r="17" spans="2:64">
      <c r="B17" s="142"/>
      <c r="C17" s="142"/>
      <c r="D17" s="142"/>
      <c r="E17" s="142"/>
      <c r="F17" s="142"/>
      <c r="G17" s="142"/>
      <c r="H17" s="23"/>
      <c r="I17" s="23"/>
      <c r="AB17" s="102"/>
      <c r="AC17" s="102"/>
      <c r="AD17" s="102"/>
      <c r="AE17" s="102"/>
      <c r="AF17" s="102"/>
      <c r="AG17" s="102"/>
      <c r="AH17" s="98"/>
      <c r="AI17" s="102"/>
      <c r="AJ17" s="102"/>
      <c r="AK17" s="102"/>
      <c r="AL17" s="98"/>
      <c r="AM17" s="64"/>
      <c r="AN17" s="64"/>
      <c r="AO17" s="142"/>
      <c r="AP17" s="64"/>
      <c r="AQ17" s="64"/>
      <c r="AR17" s="142"/>
      <c r="AS17" s="142"/>
      <c r="AT17" s="142"/>
      <c r="AU17" s="51"/>
      <c r="AW17" s="64"/>
      <c r="AX17" s="23"/>
      <c r="AY17" s="51"/>
      <c r="BA17" s="51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</row>
    <row r="18" spans="2:64">
      <c r="B18" s="142"/>
      <c r="C18" s="142"/>
      <c r="D18" s="142"/>
      <c r="E18" s="142"/>
      <c r="F18" s="142"/>
      <c r="G18" s="142"/>
      <c r="H18" s="23"/>
      <c r="I18" s="23"/>
      <c r="AB18" s="103"/>
      <c r="AC18" s="103"/>
      <c r="AD18" s="103"/>
      <c r="AE18" s="103"/>
      <c r="AF18" s="103"/>
      <c r="AG18" s="103"/>
      <c r="AH18" s="104"/>
      <c r="AI18" s="103"/>
      <c r="AJ18" s="103"/>
      <c r="AK18" s="103"/>
      <c r="AL18" s="104"/>
      <c r="AM18" s="51"/>
      <c r="AN18" s="51"/>
      <c r="AP18" s="51"/>
      <c r="AQ18" s="51"/>
      <c r="AU18" s="51"/>
      <c r="AW18" s="51"/>
      <c r="AX18" s="23"/>
      <c r="AY18" s="51"/>
      <c r="BA18" s="51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</row>
    <row r="19" spans="2:64">
      <c r="B19" s="142"/>
      <c r="C19" s="142"/>
      <c r="D19" s="142"/>
      <c r="E19" s="142"/>
      <c r="F19" s="142"/>
      <c r="G19" s="142"/>
      <c r="H19" s="23"/>
      <c r="I19" s="23"/>
      <c r="AB19" s="44"/>
      <c r="AC19" s="44"/>
      <c r="AD19" s="44"/>
      <c r="AE19" s="44"/>
      <c r="AF19" s="44"/>
      <c r="AG19" s="44"/>
      <c r="AH19" s="99"/>
      <c r="AI19" s="44"/>
      <c r="AJ19" s="44"/>
      <c r="AK19" s="44"/>
      <c r="AL19" s="99"/>
      <c r="AM19" s="51"/>
      <c r="AN19" s="51"/>
      <c r="AP19" s="51"/>
      <c r="AQ19" s="51"/>
      <c r="AU19" s="51"/>
      <c r="AW19" s="51"/>
      <c r="AX19" s="23"/>
      <c r="AY19" s="51"/>
      <c r="BA19" s="51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</row>
    <row r="20" spans="2:64">
      <c r="B20" s="142"/>
      <c r="C20" s="142"/>
      <c r="D20" s="142"/>
      <c r="E20" s="142"/>
      <c r="F20" s="142"/>
      <c r="G20" s="142"/>
      <c r="H20" s="23"/>
      <c r="I20" s="23"/>
      <c r="AB20" s="44"/>
      <c r="AC20" s="44"/>
      <c r="AD20" s="44"/>
      <c r="AE20" s="44"/>
      <c r="AF20" s="44"/>
      <c r="AG20" s="44"/>
      <c r="AH20" s="99"/>
      <c r="AI20" s="44"/>
      <c r="AJ20" s="45"/>
      <c r="AK20" s="45"/>
      <c r="AL20" s="99"/>
      <c r="AM20" s="51"/>
      <c r="AN20" s="51"/>
      <c r="AP20" s="51"/>
      <c r="AQ20" s="51"/>
      <c r="AU20" s="51"/>
      <c r="AW20" s="51"/>
      <c r="AX20" s="23"/>
      <c r="AY20" s="51"/>
      <c r="BA20" s="51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</row>
    <row r="21" spans="2:64">
      <c r="B21" s="142"/>
      <c r="C21" s="142"/>
      <c r="D21" s="142"/>
      <c r="E21" s="142"/>
      <c r="F21" s="142"/>
      <c r="G21" s="142"/>
      <c r="H21" s="23"/>
      <c r="I21" s="23"/>
      <c r="AB21" s="44"/>
      <c r="AC21" s="44"/>
      <c r="AD21" s="44"/>
      <c r="AE21" s="44"/>
      <c r="AF21" s="45"/>
      <c r="AG21" s="45"/>
      <c r="AH21" s="99"/>
      <c r="AI21" s="44"/>
      <c r="AJ21" s="45"/>
      <c r="AK21" s="45"/>
      <c r="AL21" s="99"/>
      <c r="AM21" s="51"/>
      <c r="AN21" s="51"/>
      <c r="AP21" s="51"/>
      <c r="AQ21" s="51"/>
      <c r="AU21" s="51"/>
      <c r="AW21" s="51"/>
      <c r="AY21" s="51"/>
      <c r="BA21" s="51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</row>
    <row r="22" spans="2:64">
      <c r="B22" s="142"/>
      <c r="C22" s="142"/>
      <c r="D22" s="142"/>
      <c r="E22" s="142"/>
      <c r="F22" s="142"/>
      <c r="G22" s="142"/>
      <c r="AB22" s="44"/>
      <c r="AC22" s="44"/>
      <c r="AD22" s="44"/>
      <c r="AE22" s="44"/>
      <c r="AF22" s="44"/>
      <c r="AG22" s="44"/>
      <c r="AH22" s="99"/>
      <c r="AI22" s="44"/>
      <c r="AJ22" s="44"/>
      <c r="AK22" s="44"/>
      <c r="AL22" s="99"/>
      <c r="AM22" s="51"/>
      <c r="AN22" s="51"/>
      <c r="AP22" s="51"/>
      <c r="AQ22" s="51"/>
      <c r="AU22" s="51"/>
      <c r="AW22" s="51"/>
      <c r="AY22" s="51"/>
      <c r="BA22" s="51"/>
      <c r="BB22" s="51"/>
      <c r="BC22" s="51"/>
      <c r="BE22" s="51"/>
      <c r="BF22" s="51"/>
      <c r="BJ22" s="51"/>
    </row>
    <row r="23" spans="2:64">
      <c r="B23" s="142"/>
      <c r="C23" s="142"/>
      <c r="D23" s="142"/>
      <c r="E23" s="142"/>
      <c r="F23" s="142"/>
      <c r="G23" s="142"/>
      <c r="AB23" s="100"/>
      <c r="AC23" s="100"/>
      <c r="AD23" s="100"/>
      <c r="AE23" s="100"/>
      <c r="AF23" s="100"/>
      <c r="AG23" s="100"/>
      <c r="AH23" s="101"/>
      <c r="AI23" s="100"/>
      <c r="AJ23" s="100"/>
      <c r="AK23" s="100"/>
      <c r="AL23" s="101"/>
      <c r="AM23" s="51"/>
      <c r="AN23" s="51"/>
      <c r="AP23" s="51"/>
      <c r="AQ23" s="51"/>
      <c r="AU23" s="51"/>
      <c r="AW23" s="51"/>
      <c r="AY23" s="51"/>
      <c r="BA23" s="51"/>
      <c r="BB23" s="51"/>
      <c r="BC23" s="51"/>
      <c r="BE23" s="51"/>
      <c r="BF23" s="51"/>
      <c r="BJ23" s="51"/>
    </row>
    <row r="24" spans="2:64"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51"/>
      <c r="AN24" s="51"/>
      <c r="AP24" s="51"/>
      <c r="AQ24" s="51"/>
      <c r="AU24" s="51"/>
      <c r="AW24" s="51"/>
      <c r="AY24" s="51"/>
      <c r="BA24" s="51"/>
      <c r="BB24" s="51"/>
      <c r="BC24" s="51"/>
      <c r="BE24" s="51"/>
      <c r="BF24" s="51"/>
      <c r="BJ24" s="51"/>
    </row>
    <row r="25" spans="2:64">
      <c r="AM25" s="51"/>
      <c r="AN25" s="51"/>
      <c r="AP25" s="51"/>
      <c r="AQ25" s="51"/>
      <c r="AU25" s="51"/>
      <c r="AW25" s="51"/>
      <c r="AY25" s="51"/>
      <c r="BA25" s="51"/>
      <c r="BB25" s="51"/>
      <c r="BC25" s="51"/>
      <c r="BE25" s="51"/>
      <c r="BF25" s="51"/>
      <c r="BJ25" s="51"/>
    </row>
    <row r="26" spans="2:64">
      <c r="AM26" s="64"/>
      <c r="AN26" s="64"/>
      <c r="AO26" s="142"/>
      <c r="AP26" s="64"/>
      <c r="AQ26" s="64"/>
      <c r="AR26" s="142"/>
      <c r="AS26" s="142"/>
      <c r="AT26" s="142"/>
      <c r="AU26" s="51"/>
      <c r="AW26" s="64"/>
    </row>
    <row r="27" spans="2:64">
      <c r="AM27" s="64"/>
      <c r="AN27" s="64"/>
      <c r="AO27" s="142"/>
      <c r="AP27" s="64"/>
      <c r="AQ27" s="64"/>
      <c r="AR27" s="142"/>
      <c r="AS27" s="142"/>
      <c r="AT27" s="142"/>
      <c r="AU27" s="51"/>
      <c r="AW27" s="64"/>
    </row>
    <row r="28" spans="2:64">
      <c r="AM28" s="51"/>
      <c r="AN28" s="51"/>
      <c r="AP28" s="51"/>
      <c r="AQ28" s="51"/>
      <c r="AU28" s="51"/>
      <c r="AW28" s="5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pageMargins left="0.7" right="0.7" top="0.78740157499999996" bottom="0.78740157499999996" header="0.3" footer="0.3"/>
  <pageSetup paperSize="9" orientation="portrait" r:id="rId1"/>
  <ignoredErrors>
    <ignoredError sqref="D10:E10 G10:I10 K10:M10 R10:T10 V10:X10 Z10:AB10" formulaRange="1"/>
    <ignoredError sqref="F10" formula="1" formulaRange="1"/>
    <ignoredError sqref="J10 Q10 U10 Y1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5943-DE81-4E67-BB04-595946880E07}">
  <dimension ref="A1:BQ32"/>
  <sheetViews>
    <sheetView topLeftCell="B1" zoomScaleNormal="100" workbookViewId="0">
      <pane xSplit="1" topLeftCell="AV1" activePane="topRight" state="frozen"/>
      <selection activeCell="G14" sqref="G14"/>
      <selection pane="topRight" activeCell="BM14" sqref="BM14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10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285156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0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10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9.42578125" style="51" customWidth="1"/>
    <col min="27" max="28" width="10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58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63">
        <f>VLOOKUP(B6,[1]Finland!$B$4:$D$9,2,FALSE)</f>
        <v>11738</v>
      </c>
      <c r="D6" s="185">
        <v>10801</v>
      </c>
      <c r="E6" s="31">
        <v>9373</v>
      </c>
      <c r="F6" s="198">
        <f>(E6-D6)/D6</f>
        <v>-0.13220998055735581</v>
      </c>
      <c r="G6" s="53">
        <v>8085</v>
      </c>
      <c r="H6" s="53">
        <v>8271</v>
      </c>
      <c r="I6" s="31">
        <v>8170</v>
      </c>
      <c r="J6" s="206">
        <f>(I6-H6)/H6</f>
        <v>-1.2211340829403941E-2</v>
      </c>
      <c r="K6" s="53">
        <v>9279</v>
      </c>
      <c r="L6" s="53">
        <v>9200</v>
      </c>
      <c r="M6" s="214">
        <v>10428</v>
      </c>
      <c r="N6" s="53">
        <f>SUM(C6,G6,K6)</f>
        <v>29102</v>
      </c>
      <c r="O6" s="53">
        <f>SUM(D6,H6,L6)</f>
        <v>28272</v>
      </c>
      <c r="P6" s="53">
        <f>SUM(E6,I6,M6)</f>
        <v>27971</v>
      </c>
      <c r="Q6" s="222">
        <f>(M6-L6)/L6</f>
        <v>0.13347826086956521</v>
      </c>
      <c r="R6" s="53">
        <v>9748</v>
      </c>
      <c r="S6" s="31">
        <v>5981</v>
      </c>
      <c r="T6" s="31">
        <v>8840</v>
      </c>
      <c r="U6" s="49">
        <f>(T6-S6)/S6</f>
        <v>0.47801371008192611</v>
      </c>
      <c r="V6" s="53">
        <v>10891</v>
      </c>
      <c r="W6" s="31">
        <v>5112</v>
      </c>
      <c r="X6" s="31">
        <v>9964</v>
      </c>
      <c r="Y6" s="49">
        <f>(X6-W6)/W6</f>
        <v>0.94913928012519566</v>
      </c>
      <c r="Z6" s="53">
        <v>10539</v>
      </c>
      <c r="AA6" s="53">
        <v>8026</v>
      </c>
      <c r="AB6" s="31">
        <v>9941</v>
      </c>
      <c r="AC6" s="53">
        <f>SUM(R6,V6,Z6)</f>
        <v>31178</v>
      </c>
      <c r="AD6" s="53">
        <f>SUM(S6,W6,AA6)</f>
        <v>19119</v>
      </c>
      <c r="AE6" s="53">
        <f>SUM(T6,X6,AB6)</f>
        <v>28745</v>
      </c>
      <c r="AF6" s="49">
        <f>(AB6-AA6)/AA6</f>
        <v>0.23859955145776227</v>
      </c>
      <c r="AG6" s="49"/>
      <c r="AH6" s="31"/>
      <c r="AI6" s="10"/>
      <c r="AJ6" s="49"/>
      <c r="AK6" s="49"/>
      <c r="AL6" s="53"/>
      <c r="AM6" s="53"/>
      <c r="AN6" s="49"/>
      <c r="AO6" s="49"/>
      <c r="AP6" s="53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53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60280</v>
      </c>
      <c r="BL6" s="54">
        <f>SUM(D6,H6,L6,S6,W6,AA6,AH6,AL6,AP6,AW6,BA6,BE6)</f>
        <v>47391</v>
      </c>
      <c r="BM6" s="145">
        <f>SUM(E6,I6,M6,T6,X6,AB6,AI6,AM6,AQ6,AX6,BB6,BF6)</f>
        <v>56716</v>
      </c>
      <c r="BN6" s="32">
        <f>(BM6-BL6)/BL6</f>
        <v>0.19676731868920258</v>
      </c>
    </row>
    <row r="7" spans="2:69">
      <c r="B7" s="248" t="s">
        <v>3</v>
      </c>
      <c r="C7" s="263">
        <f>VLOOKUP(B7,[1]Finland!$B$4:$D$9,2,FALSE)</f>
        <v>1493</v>
      </c>
      <c r="D7" s="185">
        <v>1274</v>
      </c>
      <c r="E7" s="31">
        <v>1303</v>
      </c>
      <c r="F7" s="198">
        <f>(E7-D7)/D7</f>
        <v>2.2762951334379906E-2</v>
      </c>
      <c r="G7" s="53">
        <v>1056</v>
      </c>
      <c r="H7" s="53">
        <v>1018</v>
      </c>
      <c r="I7" s="31">
        <v>990</v>
      </c>
      <c r="J7" s="206">
        <f t="shared" ref="J7:J10" si="0">(I7-H7)/H7</f>
        <v>-2.75049115913556E-2</v>
      </c>
      <c r="K7" s="53">
        <v>1380</v>
      </c>
      <c r="L7" s="53">
        <v>1221</v>
      </c>
      <c r="M7" s="214">
        <v>1445</v>
      </c>
      <c r="N7" s="53">
        <f t="shared" ref="N7:N9" si="1">SUM(C7,G7,K7)</f>
        <v>3929</v>
      </c>
      <c r="O7" s="53">
        <f t="shared" ref="O7:O9" si="2">SUM(D7,H7,L7)</f>
        <v>3513</v>
      </c>
      <c r="P7" s="53">
        <f t="shared" ref="P7:P9" si="3">SUM(E7,I7,M7)</f>
        <v>3738</v>
      </c>
      <c r="Q7" s="222">
        <f t="shared" ref="Q7:Q10" si="4">(M7-L7)/L7</f>
        <v>0.18345618345618345</v>
      </c>
      <c r="R7" s="53">
        <v>1369</v>
      </c>
      <c r="S7" s="31">
        <v>970</v>
      </c>
      <c r="T7" s="23">
        <v>1095</v>
      </c>
      <c r="U7" s="49">
        <f t="shared" ref="U7:U10" si="5">(T7-S7)/S7</f>
        <v>0.12886597938144329</v>
      </c>
      <c r="V7" s="53">
        <v>1327</v>
      </c>
      <c r="W7" s="31">
        <v>912</v>
      </c>
      <c r="X7" s="31">
        <v>1166</v>
      </c>
      <c r="Y7" s="49">
        <f t="shared" ref="Y7:Y10" si="6">(X7-W7)/W7</f>
        <v>0.27850877192982454</v>
      </c>
      <c r="Z7" s="53">
        <v>1344</v>
      </c>
      <c r="AA7" s="53">
        <v>871</v>
      </c>
      <c r="AB7" s="31">
        <v>1299</v>
      </c>
      <c r="AC7" s="53">
        <f t="shared" ref="AC7:AC10" si="7">SUM(R7,V7,Z7)</f>
        <v>4040</v>
      </c>
      <c r="AD7" s="53">
        <f t="shared" ref="AD7:AD10" si="8">SUM(S7,W7,AA7)</f>
        <v>2753</v>
      </c>
      <c r="AE7" s="53">
        <f t="shared" ref="AE7:AE10" si="9">SUM(T7,X7,AB7)</f>
        <v>3560</v>
      </c>
      <c r="AF7" s="49">
        <f t="shared" ref="AF7:AF10" si="10">(AB7-AA7)/AA7</f>
        <v>0.49138920780711826</v>
      </c>
      <c r="AG7" s="49"/>
      <c r="AH7" s="31"/>
      <c r="AI7" s="10"/>
      <c r="AJ7" s="49"/>
      <c r="AK7" s="49"/>
      <c r="AL7" s="53"/>
      <c r="AM7" s="53"/>
      <c r="AN7" s="49"/>
      <c r="AO7" s="49"/>
      <c r="AP7" s="53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53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10" si="11">SUM(C7,G7,K7,R7,V7,Z7,AG7,AK7,AO7,AV7,AZ7,BD7)</f>
        <v>7969</v>
      </c>
      <c r="BL7" s="145">
        <f t="shared" ref="BL7:BL9" si="12">SUM(D7,H7,L7,S7,W7,AA7,AH7,AL7,AP7,AW7,BA7,BE7)</f>
        <v>6266</v>
      </c>
      <c r="BM7" s="145">
        <f t="shared" ref="BM7:BM9" si="13">SUM(E7,I7,M7,T7,X7,AB7,AI7,AM7,AQ7,AX7,BB7,BF7)</f>
        <v>7298</v>
      </c>
      <c r="BN7" s="32">
        <f>(BM7-BL7)/BL7</f>
        <v>0.16469837216725183</v>
      </c>
    </row>
    <row r="8" spans="2:69">
      <c r="B8" s="248" t="s">
        <v>4</v>
      </c>
      <c r="C8" s="263">
        <f>VLOOKUP(B8,[1]Finland!$B$4:$D$9,2,FALSE)</f>
        <v>359</v>
      </c>
      <c r="D8" s="185">
        <v>365</v>
      </c>
      <c r="E8" s="31">
        <v>345</v>
      </c>
      <c r="F8" s="198">
        <f>(E8-D8)/D8</f>
        <v>-5.4794520547945202E-2</v>
      </c>
      <c r="G8" s="53">
        <v>320</v>
      </c>
      <c r="H8" s="53">
        <v>311</v>
      </c>
      <c r="I8" s="31">
        <v>254</v>
      </c>
      <c r="J8" s="206">
        <f t="shared" si="0"/>
        <v>-0.18327974276527331</v>
      </c>
      <c r="K8" s="53">
        <v>310</v>
      </c>
      <c r="L8" s="53">
        <v>314</v>
      </c>
      <c r="M8" s="214">
        <v>362</v>
      </c>
      <c r="N8" s="53">
        <f t="shared" si="1"/>
        <v>989</v>
      </c>
      <c r="O8" s="53">
        <f t="shared" si="2"/>
        <v>990</v>
      </c>
      <c r="P8" s="53">
        <f t="shared" si="3"/>
        <v>961</v>
      </c>
      <c r="Q8" s="222">
        <f t="shared" si="4"/>
        <v>0.15286624203821655</v>
      </c>
      <c r="R8" s="53">
        <v>356</v>
      </c>
      <c r="S8" s="31">
        <v>287</v>
      </c>
      <c r="T8" s="31">
        <v>295</v>
      </c>
      <c r="U8" s="49">
        <f t="shared" si="5"/>
        <v>2.7874564459930314E-2</v>
      </c>
      <c r="V8" s="53">
        <v>427</v>
      </c>
      <c r="W8" s="31">
        <v>257</v>
      </c>
      <c r="X8" s="31">
        <v>302</v>
      </c>
      <c r="Y8" s="49">
        <f t="shared" si="6"/>
        <v>0.17509727626459143</v>
      </c>
      <c r="Z8" s="53">
        <v>642</v>
      </c>
      <c r="AA8" s="52">
        <v>239</v>
      </c>
      <c r="AB8" s="10">
        <v>342</v>
      </c>
      <c r="AC8" s="53">
        <f t="shared" si="7"/>
        <v>1425</v>
      </c>
      <c r="AD8" s="53">
        <f t="shared" si="8"/>
        <v>783</v>
      </c>
      <c r="AE8" s="53">
        <f t="shared" si="9"/>
        <v>939</v>
      </c>
      <c r="AF8" s="49">
        <f t="shared" si="10"/>
        <v>0.43096234309623432</v>
      </c>
      <c r="AG8" s="49"/>
      <c r="AH8" s="31"/>
      <c r="AI8" s="10"/>
      <c r="AJ8" s="49"/>
      <c r="AK8" s="49"/>
      <c r="AL8" s="53"/>
      <c r="AM8" s="52"/>
      <c r="AN8" s="49"/>
      <c r="AO8" s="49"/>
      <c r="AP8" s="31"/>
      <c r="AQ8" s="52"/>
      <c r="AR8" s="52"/>
      <c r="AS8" s="52"/>
      <c r="AT8" s="52"/>
      <c r="AU8" s="49"/>
      <c r="AV8" s="49"/>
      <c r="AW8" s="31"/>
      <c r="AX8" s="53"/>
      <c r="AY8" s="49"/>
      <c r="AZ8" s="49"/>
      <c r="BA8" s="53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11"/>
        <v>2414</v>
      </c>
      <c r="BL8" s="145">
        <f t="shared" si="12"/>
        <v>1773</v>
      </c>
      <c r="BM8" s="145">
        <f t="shared" si="13"/>
        <v>1900</v>
      </c>
      <c r="BN8" s="32">
        <f>(BM8-BL8)/BL8</f>
        <v>7.1630005640157923E-2</v>
      </c>
    </row>
    <row r="9" spans="2:69">
      <c r="B9" s="248" t="s">
        <v>5</v>
      </c>
      <c r="C9" s="263">
        <f>VLOOKUP(B9,[1]Finland!$B$4:$D$9,2,FALSE)</f>
        <v>47</v>
      </c>
      <c r="D9" s="185">
        <v>34</v>
      </c>
      <c r="E9" s="31">
        <v>12</v>
      </c>
      <c r="F9" s="198">
        <f>(E9-D9)/D9</f>
        <v>-0.6470588235294118</v>
      </c>
      <c r="G9" s="53">
        <v>21</v>
      </c>
      <c r="H9" s="53">
        <v>17</v>
      </c>
      <c r="I9" s="31">
        <v>10</v>
      </c>
      <c r="J9" s="206">
        <f t="shared" si="0"/>
        <v>-0.41176470588235292</v>
      </c>
      <c r="K9" s="53">
        <v>13</v>
      </c>
      <c r="L9" s="53">
        <v>10</v>
      </c>
      <c r="M9" s="214">
        <v>9</v>
      </c>
      <c r="N9" s="53">
        <f t="shared" si="1"/>
        <v>81</v>
      </c>
      <c r="O9" s="53">
        <f t="shared" si="2"/>
        <v>61</v>
      </c>
      <c r="P9" s="53">
        <f t="shared" si="3"/>
        <v>31</v>
      </c>
      <c r="Q9" s="222">
        <f t="shared" si="4"/>
        <v>-0.1</v>
      </c>
      <c r="R9" s="53">
        <v>19</v>
      </c>
      <c r="S9" s="31">
        <v>6</v>
      </c>
      <c r="T9" s="31">
        <v>11</v>
      </c>
      <c r="U9" s="49">
        <f t="shared" si="5"/>
        <v>0.83333333333333337</v>
      </c>
      <c r="V9" s="53">
        <v>23</v>
      </c>
      <c r="W9" s="31">
        <v>34</v>
      </c>
      <c r="X9" s="31">
        <v>30</v>
      </c>
      <c r="Y9" s="49">
        <f t="shared" si="6"/>
        <v>-0.11764705882352941</v>
      </c>
      <c r="Z9" s="52">
        <v>61</v>
      </c>
      <c r="AA9" s="52">
        <v>13</v>
      </c>
      <c r="AB9" s="10">
        <v>79</v>
      </c>
      <c r="AC9" s="53">
        <f t="shared" si="7"/>
        <v>103</v>
      </c>
      <c r="AD9" s="53">
        <f t="shared" si="8"/>
        <v>53</v>
      </c>
      <c r="AE9" s="53">
        <f t="shared" si="9"/>
        <v>120</v>
      </c>
      <c r="AF9" s="49">
        <f t="shared" si="10"/>
        <v>5.0769230769230766</v>
      </c>
      <c r="AG9" s="49"/>
      <c r="AH9" s="10"/>
      <c r="AI9" s="10"/>
      <c r="AJ9" s="49"/>
      <c r="AK9" s="49"/>
      <c r="AL9" s="53"/>
      <c r="AM9" s="52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35"/>
      <c r="BF9" s="53"/>
      <c r="BG9" s="53"/>
      <c r="BH9" s="53"/>
      <c r="BI9" s="53"/>
      <c r="BJ9" s="49"/>
      <c r="BK9" s="145">
        <f t="shared" si="11"/>
        <v>184</v>
      </c>
      <c r="BL9" s="145">
        <f t="shared" si="12"/>
        <v>114</v>
      </c>
      <c r="BM9" s="145">
        <f t="shared" si="13"/>
        <v>151</v>
      </c>
      <c r="BN9" s="32">
        <f>(BM9-BL9)/BL9</f>
        <v>0.32456140350877194</v>
      </c>
    </row>
    <row r="10" spans="2:69" s="9" customFormat="1">
      <c r="B10" s="249" t="s">
        <v>7</v>
      </c>
      <c r="C10" s="187">
        <f>SUM(C6:C9)</f>
        <v>13637</v>
      </c>
      <c r="D10" s="187">
        <f>SUM(D6:D9)</f>
        <v>12474</v>
      </c>
      <c r="E10" s="15">
        <f>SUM(E6:E9)</f>
        <v>11033</v>
      </c>
      <c r="F10" s="50">
        <f>(E10-D10)/D10</f>
        <v>-0.11552028218694885</v>
      </c>
      <c r="G10" s="145">
        <f>SUM(G6:G9)</f>
        <v>9482</v>
      </c>
      <c r="H10" s="15">
        <f>SUM(H6:H9)</f>
        <v>9617</v>
      </c>
      <c r="I10" s="15">
        <f>SUM(I6:I9)</f>
        <v>9424</v>
      </c>
      <c r="J10" s="207">
        <f t="shared" si="0"/>
        <v>-2.0068628470416971E-2</v>
      </c>
      <c r="K10" s="145">
        <f>SUM(K6:K9)</f>
        <v>10982</v>
      </c>
      <c r="L10" s="15">
        <f>SUM(L6:L9)</f>
        <v>10745</v>
      </c>
      <c r="M10" s="15">
        <f>SUM(M6:M9)</f>
        <v>12244</v>
      </c>
      <c r="N10" s="227">
        <f>SUM(N6:N9)</f>
        <v>34101</v>
      </c>
      <c r="O10" s="227">
        <f t="shared" ref="O10:P10" si="14">SUM(O6:O9)</f>
        <v>32836</v>
      </c>
      <c r="P10" s="227">
        <f t="shared" si="14"/>
        <v>32701</v>
      </c>
      <c r="Q10" s="223">
        <f t="shared" si="4"/>
        <v>0.1395067473243369</v>
      </c>
      <c r="R10" s="289">
        <f>SUM(R6:R9)</f>
        <v>11492</v>
      </c>
      <c r="S10" s="145">
        <f>SUM(S6:S9)</f>
        <v>7244</v>
      </c>
      <c r="T10" s="145">
        <f>SUM(T6:T9)</f>
        <v>10241</v>
      </c>
      <c r="U10" s="50">
        <f t="shared" si="5"/>
        <v>0.41372170071783543</v>
      </c>
      <c r="V10" s="289">
        <f>SUM(V6:V9)</f>
        <v>12668</v>
      </c>
      <c r="W10" s="15">
        <f>SUM(W6:W9)</f>
        <v>6315</v>
      </c>
      <c r="X10" s="145">
        <f>SUM(X6:X9)</f>
        <v>11462</v>
      </c>
      <c r="Y10" s="50">
        <f t="shared" si="6"/>
        <v>0.81504354711005544</v>
      </c>
      <c r="Z10" s="289">
        <f>SUM(Z6:Z9)</f>
        <v>12586</v>
      </c>
      <c r="AA10" s="289">
        <f>SUM(AA6:AA9)</f>
        <v>9149</v>
      </c>
      <c r="AB10" s="289">
        <f>SUM(AB6:AB9)</f>
        <v>11661</v>
      </c>
      <c r="AC10" s="145">
        <f t="shared" si="7"/>
        <v>36746</v>
      </c>
      <c r="AD10" s="145">
        <f t="shared" si="8"/>
        <v>22708</v>
      </c>
      <c r="AE10" s="145">
        <f t="shared" si="9"/>
        <v>33364</v>
      </c>
      <c r="AF10" s="50">
        <f t="shared" si="10"/>
        <v>0.27456552628702591</v>
      </c>
      <c r="AG10" s="50"/>
      <c r="AH10" s="54"/>
      <c r="AI10" s="54"/>
      <c r="AJ10" s="49"/>
      <c r="AK10" s="49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145">
        <f t="shared" si="11"/>
        <v>70847</v>
      </c>
      <c r="BL10" s="54">
        <f>SUM(D10,H10,L10,S10,W10,AA10,AH10,AL10,AP10,AW10,BA10,BE10)</f>
        <v>55544</v>
      </c>
      <c r="BM10" s="145">
        <f>SUM(E10,I10,M10,T10,X10,AB10,AI10,AM10,AQ10,AX10,BB10,BF10)</f>
        <v>66065</v>
      </c>
      <c r="BN10" s="30">
        <f>(BM10-BL10)/BL10</f>
        <v>0.18941739881895434</v>
      </c>
      <c r="BP10" s="21"/>
      <c r="BQ10" s="20"/>
    </row>
    <row r="11" spans="2:69">
      <c r="V11" s="297"/>
    </row>
    <row r="12" spans="2:69">
      <c r="B12" s="21" t="s">
        <v>22</v>
      </c>
      <c r="D12" s="67" t="s">
        <v>131</v>
      </c>
      <c r="AL12" s="123"/>
      <c r="AM12" s="123"/>
      <c r="AP12" s="123"/>
      <c r="AQ12" s="123"/>
      <c r="AR12" s="123"/>
      <c r="AS12" s="123"/>
      <c r="AT12" s="123"/>
      <c r="BL12" s="142"/>
    </row>
    <row r="13" spans="2:69">
      <c r="D13" s="67" t="s">
        <v>95</v>
      </c>
      <c r="AJ13" s="22"/>
      <c r="AK13" s="63"/>
      <c r="AL13" s="123"/>
      <c r="AM13" s="123"/>
      <c r="AN13" s="22"/>
      <c r="AO13" s="63"/>
      <c r="AP13" s="123"/>
      <c r="AQ13" s="123"/>
      <c r="AR13" s="123"/>
      <c r="AS13" s="123"/>
      <c r="AT13" s="12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M13" s="142"/>
    </row>
    <row r="14" spans="2:69">
      <c r="D14" s="22"/>
      <c r="E14" s="22"/>
      <c r="F14" s="22"/>
      <c r="G14" s="63"/>
      <c r="H14" s="22"/>
      <c r="I14" s="22"/>
    </row>
    <row r="15" spans="2:69">
      <c r="D15" s="173"/>
      <c r="E15" s="174"/>
      <c r="F15" s="174"/>
      <c r="G15" s="174"/>
      <c r="H15" s="174"/>
      <c r="I15" s="174"/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173"/>
      <c r="E16" s="174"/>
      <c r="F16" s="174"/>
      <c r="G16" s="174"/>
      <c r="H16" s="174"/>
      <c r="I16" s="174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142"/>
      <c r="E17" s="142"/>
      <c r="F17" s="142"/>
      <c r="G17" s="142"/>
      <c r="H17" s="142"/>
      <c r="I17" s="142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175"/>
      <c r="E18" s="176"/>
      <c r="F18" s="176"/>
      <c r="G18" s="176"/>
      <c r="H18" s="177"/>
      <c r="I18" s="177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175"/>
      <c r="E19" s="176"/>
      <c r="F19" s="176"/>
      <c r="G19" s="176"/>
      <c r="H19" s="177"/>
      <c r="I19" s="177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175"/>
      <c r="E20" s="176"/>
      <c r="F20" s="176"/>
      <c r="G20" s="176"/>
      <c r="H20" s="177"/>
      <c r="I20" s="177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175"/>
      <c r="E21" s="176"/>
      <c r="F21" s="176"/>
      <c r="G21" s="176"/>
      <c r="H21" s="177"/>
      <c r="I21" s="177"/>
    </row>
    <row r="22" spans="4:56">
      <c r="D22" s="175"/>
      <c r="E22" s="176"/>
      <c r="F22" s="176"/>
      <c r="G22" s="176"/>
      <c r="H22" s="177"/>
      <c r="I22" s="177"/>
    </row>
    <row r="23" spans="4:56">
      <c r="D23" s="175"/>
      <c r="E23" s="176"/>
      <c r="F23" s="176"/>
      <c r="G23" s="176"/>
      <c r="H23" s="177"/>
      <c r="I23" s="177"/>
    </row>
    <row r="24" spans="4:56">
      <c r="D24" s="175"/>
      <c r="E24" s="176"/>
      <c r="F24" s="176"/>
      <c r="G24" s="176"/>
      <c r="H24" s="177"/>
      <c r="I24" s="177"/>
    </row>
    <row r="29" spans="4:56">
      <c r="D29" s="51"/>
      <c r="E29" s="51"/>
      <c r="F29" s="51"/>
      <c r="H29" s="51"/>
      <c r="I29" s="51"/>
    </row>
    <row r="30" spans="4:56">
      <c r="D30" s="51"/>
      <c r="E30" s="51"/>
      <c r="F30" s="51"/>
      <c r="H30" s="51"/>
      <c r="I30" s="51"/>
    </row>
    <row r="31" spans="4:56">
      <c r="D31" s="175"/>
      <c r="E31" s="51"/>
      <c r="F31" s="51"/>
      <c r="H31" s="51"/>
      <c r="I31" s="51"/>
    </row>
    <row r="32" spans="4:56">
      <c r="D32" s="175"/>
      <c r="E32" s="51"/>
      <c r="F32" s="51"/>
      <c r="H32" s="51"/>
      <c r="I32" s="5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3" r:id="rId1" xr:uid="{D77917D0-0101-48A4-A0BD-3CE431ED7746}"/>
    <hyperlink ref="D12" r:id="rId2" xr:uid="{42993C17-58A1-4B68-B630-9AAF0311EB98}"/>
  </hyperlinks>
  <pageMargins left="0.7" right="0.7" top="0.78740157499999996" bottom="0.78740157499999996" header="0.3" footer="0.3"/>
  <pageSetup paperSize="9" orientation="portrait" verticalDpi="0" r:id="rId3"/>
  <ignoredErrors>
    <ignoredError sqref="D10:E10 G10:I10 K10:M10 V10:X10 R10:T10 Z10:AB10" formulaRange="1"/>
    <ignoredError sqref="F10" formula="1" formulaRange="1"/>
    <ignoredError sqref="J10 Q10 U10 Y1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8345-1AA3-4B34-B314-7790BB8A8FD3}">
  <dimension ref="A1:BQ21"/>
  <sheetViews>
    <sheetView topLeftCell="B1" zoomScaleNormal="100" workbookViewId="0">
      <pane xSplit="1" topLeftCell="C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9.5703125" style="51" customWidth="1"/>
    <col min="4" max="4" width="8.7109375" style="21" customWidth="1"/>
    <col min="5" max="5" width="9" style="21" customWidth="1"/>
    <col min="6" max="6" width="11.5703125" style="21" customWidth="1"/>
    <col min="7" max="7" width="9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425781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0.42578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10.28515625" style="51" customWidth="1"/>
    <col min="23" max="23" width="9.140625" style="21" customWidth="1"/>
    <col min="24" max="24" width="10.42578125" style="21" customWidth="1"/>
    <col min="25" max="25" width="10.140625" style="21" bestFit="1" customWidth="1"/>
    <col min="26" max="26" width="9.8554687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4" width="11.42578125" style="21"/>
    <col min="55" max="55" width="10.42578125" style="21" customWidth="1"/>
    <col min="56" max="56" width="10.42578125" style="51" customWidth="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49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80">
        <v>155079</v>
      </c>
      <c r="D6" s="185">
        <v>134229</v>
      </c>
      <c r="E6" s="31">
        <v>126381</v>
      </c>
      <c r="F6" s="198">
        <f>(E6-D6)/D6</f>
        <v>-5.8467246273160051E-2</v>
      </c>
      <c r="G6" s="53">
        <v>172438</v>
      </c>
      <c r="H6" s="53">
        <v>167782</v>
      </c>
      <c r="I6" s="31">
        <v>132637</v>
      </c>
      <c r="J6" s="198">
        <f>(I6-H6)/H6</f>
        <v>-0.20946823854763919</v>
      </c>
      <c r="K6" s="53">
        <v>225818</v>
      </c>
      <c r="L6" s="53">
        <v>62668</v>
      </c>
      <c r="M6" s="214">
        <v>182774</v>
      </c>
      <c r="N6" s="53">
        <f>SUM(C6,G6,K6)</f>
        <v>553335</v>
      </c>
      <c r="O6" s="53">
        <f>SUM(D6,H6,L6)</f>
        <v>364679</v>
      </c>
      <c r="P6" s="53">
        <f>SUM(E6,I6,M6)</f>
        <v>441792</v>
      </c>
      <c r="Q6" s="222">
        <f>(M6-L6)/L6</f>
        <v>1.9165443288440671</v>
      </c>
      <c r="R6" s="53">
        <v>188195</v>
      </c>
      <c r="S6" s="31">
        <v>20997</v>
      </c>
      <c r="T6" s="31">
        <v>140426</v>
      </c>
      <c r="U6" s="49">
        <f>(T6-S6)/S6</f>
        <v>5.6879077963518601</v>
      </c>
      <c r="V6" s="53">
        <v>193948</v>
      </c>
      <c r="W6" s="31">
        <v>96308</v>
      </c>
      <c r="X6" s="31">
        <v>141040</v>
      </c>
      <c r="Y6" s="49">
        <f>(X6-W6)/W6</f>
        <v>0.46446816463845164</v>
      </c>
      <c r="Z6" s="53">
        <v>230964</v>
      </c>
      <c r="AA6" s="214">
        <v>233814</v>
      </c>
      <c r="AB6" s="53">
        <v>199509</v>
      </c>
      <c r="AC6" s="53">
        <f>SUM(R6,V6,Z6)</f>
        <v>613107</v>
      </c>
      <c r="AD6" s="53">
        <f>SUM(S6,W6,AA6)</f>
        <v>351119</v>
      </c>
      <c r="AE6" s="53">
        <f>SUM(T6,X6,AB6)</f>
        <v>480975</v>
      </c>
      <c r="AF6" s="49">
        <f>(AB6-AA6)/AA6</f>
        <v>-0.14671918704611359</v>
      </c>
      <c r="AG6" s="49"/>
      <c r="AH6" s="31"/>
      <c r="AI6" s="31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1166442</v>
      </c>
      <c r="BL6" s="54">
        <f>SUM(D6,H6,L6,S6,W6,AA6,AH6,AL6,AP6,AW6,BA6,BE6)</f>
        <v>715798</v>
      </c>
      <c r="BM6" s="145">
        <f>SUM(E6,I6,M6,T6,X6,AB6,AI6,AM6,AQ6,AX6,BB6,BF6)</f>
        <v>922767</v>
      </c>
      <c r="BN6" s="32">
        <f>(BM6-BL6)/BL6</f>
        <v>0.28914442342672092</v>
      </c>
    </row>
    <row r="7" spans="2:69">
      <c r="B7" s="248" t="s">
        <v>3</v>
      </c>
      <c r="C7" s="280">
        <v>35675</v>
      </c>
      <c r="D7" s="185">
        <v>32370</v>
      </c>
      <c r="E7" s="31">
        <v>34844</v>
      </c>
      <c r="F7" s="198">
        <f>(E7-D7)/D7</f>
        <v>7.6428792091442696E-2</v>
      </c>
      <c r="G7" s="53">
        <v>38088</v>
      </c>
      <c r="H7" s="53">
        <v>39232</v>
      </c>
      <c r="I7" s="31">
        <v>37275</v>
      </c>
      <c r="J7" s="198">
        <f t="shared" ref="J7:J9" si="0">(I7-H7)/H7</f>
        <v>-4.9882748776508973E-2</v>
      </c>
      <c r="K7" s="53">
        <v>47888</v>
      </c>
      <c r="L7" s="53">
        <v>16856</v>
      </c>
      <c r="M7" s="214">
        <v>47694</v>
      </c>
      <c r="N7" s="53">
        <f t="shared" ref="N7:N9" si="1">SUM(C7,G7,K7)</f>
        <v>121651</v>
      </c>
      <c r="O7" s="53">
        <f t="shared" ref="O7:O9" si="2">SUM(D7,H7,L7)</f>
        <v>88458</v>
      </c>
      <c r="P7" s="53">
        <f t="shared" ref="P7:P9" si="3">SUM(E7,I7,M7)</f>
        <v>119813</v>
      </c>
      <c r="Q7" s="222">
        <f t="shared" ref="Q7:Q10" si="4">(M7-L7)/L7</f>
        <v>1.8294969150450877</v>
      </c>
      <c r="R7" s="53">
        <v>43658</v>
      </c>
      <c r="S7" s="31">
        <v>7038</v>
      </c>
      <c r="T7" s="23">
        <v>40198</v>
      </c>
      <c r="U7" s="49">
        <f t="shared" ref="U7:U10" si="5">(T7-S7)/S7</f>
        <v>4.7115657857345834</v>
      </c>
      <c r="V7" s="53">
        <v>41139</v>
      </c>
      <c r="W7" s="31">
        <v>27482</v>
      </c>
      <c r="X7" s="31">
        <v>35962</v>
      </c>
      <c r="Y7" s="49">
        <f t="shared" ref="Y7:Y10" si="6">(X7-W7)/W7</f>
        <v>0.30856560657885163</v>
      </c>
      <c r="Z7" s="53">
        <v>48289</v>
      </c>
      <c r="AA7" s="142">
        <v>52029</v>
      </c>
      <c r="AB7" s="53">
        <v>46778</v>
      </c>
      <c r="AC7" s="53">
        <f t="shared" ref="AC7:AC10" si="7">SUM(R7,V7,Z7)</f>
        <v>133086</v>
      </c>
      <c r="AD7" s="53">
        <f t="shared" ref="AD7:AD10" si="8">SUM(S7,W7,AA7)</f>
        <v>86549</v>
      </c>
      <c r="AE7" s="53">
        <f t="shared" ref="AE7:AE10" si="9">SUM(T7,X7,AB7)</f>
        <v>122938</v>
      </c>
      <c r="AF7" s="49">
        <f t="shared" ref="AF7:AF10" si="10">(AB7-AA7)/AA7</f>
        <v>-0.10092448442214919</v>
      </c>
      <c r="AG7" s="49"/>
      <c r="AH7" s="31"/>
      <c r="AI7" s="31"/>
      <c r="AJ7" s="49"/>
      <c r="AK7" s="49"/>
      <c r="AL7" s="31"/>
      <c r="AM7" s="53"/>
      <c r="AN7" s="49"/>
      <c r="AO7" s="49"/>
      <c r="AP7" s="31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10" si="11">SUM(C7,G7,K7,R7,V7,Z7,AG7,AK7,AO7,AV7,AZ7,BD7)</f>
        <v>254737</v>
      </c>
      <c r="BL7" s="145">
        <f t="shared" ref="BL7:BL9" si="12">SUM(D7,H7,L7,S7,W7,AA7,AH7,AL7,AP7,AW7,BA7,BE7)</f>
        <v>175007</v>
      </c>
      <c r="BM7" s="145">
        <f t="shared" ref="BM7:BM9" si="13">SUM(E7,I7,M7,T7,X7,AB7,AI7,AM7,AQ7,AX7,BB7,BF7)</f>
        <v>242751</v>
      </c>
      <c r="BN7" s="32">
        <f>(BM7-BL7)/BL7</f>
        <v>0.38709308770506323</v>
      </c>
    </row>
    <row r="8" spans="2:69">
      <c r="B8" s="248" t="s">
        <v>4</v>
      </c>
      <c r="C8" s="280">
        <v>4529</v>
      </c>
      <c r="D8" s="185">
        <v>3974</v>
      </c>
      <c r="E8" s="31">
        <v>3681</v>
      </c>
      <c r="F8" s="198">
        <f>(E8-D8)/D8</f>
        <v>-7.3729240060392554E-2</v>
      </c>
      <c r="G8" s="53">
        <v>4376</v>
      </c>
      <c r="H8" s="53">
        <v>3781</v>
      </c>
      <c r="I8" s="31">
        <v>3462</v>
      </c>
      <c r="J8" s="198">
        <f t="shared" si="0"/>
        <v>-8.4369214493520236E-2</v>
      </c>
      <c r="K8" s="53">
        <v>5192</v>
      </c>
      <c r="L8" s="53">
        <v>2630</v>
      </c>
      <c r="M8" s="214">
        <v>4546</v>
      </c>
      <c r="N8" s="53">
        <f t="shared" si="1"/>
        <v>14097</v>
      </c>
      <c r="O8" s="53">
        <f t="shared" si="2"/>
        <v>10385</v>
      </c>
      <c r="P8" s="53">
        <f t="shared" si="3"/>
        <v>11689</v>
      </c>
      <c r="Q8" s="222">
        <f t="shared" si="4"/>
        <v>0.72851711026615973</v>
      </c>
      <c r="R8" s="53">
        <v>5308</v>
      </c>
      <c r="S8" s="31">
        <v>1502</v>
      </c>
      <c r="T8" s="31">
        <v>3953</v>
      </c>
      <c r="U8" s="49">
        <f t="shared" si="5"/>
        <v>1.6318242343541944</v>
      </c>
      <c r="V8" s="53">
        <v>5972</v>
      </c>
      <c r="W8" s="31">
        <v>3253</v>
      </c>
      <c r="X8" s="31">
        <v>3532</v>
      </c>
      <c r="Y8" s="49">
        <f t="shared" si="6"/>
        <v>8.5766984322164161E-2</v>
      </c>
      <c r="Z8" s="53">
        <v>7116</v>
      </c>
      <c r="AA8" s="214">
        <v>4622</v>
      </c>
      <c r="AB8" s="53">
        <v>4594</v>
      </c>
      <c r="AC8" s="53">
        <f t="shared" si="7"/>
        <v>18396</v>
      </c>
      <c r="AD8" s="53">
        <f t="shared" si="8"/>
        <v>9377</v>
      </c>
      <c r="AE8" s="53">
        <f t="shared" si="9"/>
        <v>12079</v>
      </c>
      <c r="AF8" s="49">
        <f t="shared" si="10"/>
        <v>-6.0579835569017741E-3</v>
      </c>
      <c r="AG8" s="49"/>
      <c r="AH8" s="71"/>
      <c r="AI8" s="31"/>
      <c r="AJ8" s="49"/>
      <c r="AK8" s="49"/>
      <c r="AL8" s="31"/>
      <c r="AM8" s="53"/>
      <c r="AN8" s="49"/>
      <c r="AO8" s="49"/>
      <c r="AP8" s="31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31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11"/>
        <v>32493</v>
      </c>
      <c r="BL8" s="145">
        <f t="shared" si="12"/>
        <v>19762</v>
      </c>
      <c r="BM8" s="145">
        <f t="shared" si="13"/>
        <v>23768</v>
      </c>
      <c r="BN8" s="32">
        <f>(BM8-BL8)/BL8</f>
        <v>0.20271227608541645</v>
      </c>
    </row>
    <row r="9" spans="2:69">
      <c r="B9" s="248" t="s">
        <v>5</v>
      </c>
      <c r="C9" s="280">
        <v>464</v>
      </c>
      <c r="D9" s="185">
        <v>616</v>
      </c>
      <c r="E9" s="31">
        <v>543</v>
      </c>
      <c r="F9" s="198">
        <f>(E9-D9)/D9</f>
        <v>-0.1185064935064935</v>
      </c>
      <c r="G9" s="53">
        <v>360</v>
      </c>
      <c r="H9" s="53">
        <v>480</v>
      </c>
      <c r="I9" s="31">
        <v>460</v>
      </c>
      <c r="J9" s="198">
        <f t="shared" si="0"/>
        <v>-4.1666666666666664E-2</v>
      </c>
      <c r="K9" s="53">
        <v>406</v>
      </c>
      <c r="L9" s="53">
        <v>247</v>
      </c>
      <c r="M9" s="214">
        <v>388</v>
      </c>
      <c r="N9" s="53">
        <f t="shared" si="1"/>
        <v>1230</v>
      </c>
      <c r="O9" s="53">
        <f t="shared" si="2"/>
        <v>1343</v>
      </c>
      <c r="P9" s="53">
        <f t="shared" si="3"/>
        <v>1391</v>
      </c>
      <c r="Q9" s="222">
        <f t="shared" si="4"/>
        <v>0.57085020242914974</v>
      </c>
      <c r="R9" s="53">
        <v>327</v>
      </c>
      <c r="S9" s="31">
        <v>112</v>
      </c>
      <c r="T9" s="31">
        <v>228</v>
      </c>
      <c r="U9" s="49">
        <f t="shared" si="5"/>
        <v>1.0357142857142858</v>
      </c>
      <c r="V9" s="53">
        <v>527</v>
      </c>
      <c r="W9" s="31">
        <v>218</v>
      </c>
      <c r="X9" s="31">
        <v>244</v>
      </c>
      <c r="Y9" s="49">
        <f t="shared" si="6"/>
        <v>0.11926605504587157</v>
      </c>
      <c r="Z9" s="52">
        <v>622</v>
      </c>
      <c r="AA9" s="247">
        <v>599</v>
      </c>
      <c r="AB9" s="79">
        <v>486</v>
      </c>
      <c r="AC9" s="53">
        <f t="shared" si="7"/>
        <v>1476</v>
      </c>
      <c r="AD9" s="53">
        <f t="shared" si="8"/>
        <v>929</v>
      </c>
      <c r="AE9" s="53">
        <f t="shared" si="9"/>
        <v>958</v>
      </c>
      <c r="AF9" s="49">
        <f t="shared" si="10"/>
        <v>-0.18864774624373956</v>
      </c>
      <c r="AG9" s="72"/>
      <c r="AH9" s="31"/>
      <c r="AI9" s="31"/>
      <c r="AJ9" s="49"/>
      <c r="AK9" s="49"/>
      <c r="AL9" s="31"/>
      <c r="AM9" s="10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245"/>
      <c r="AY9" s="49"/>
      <c r="AZ9" s="193"/>
      <c r="BA9" s="53"/>
      <c r="BB9" s="245"/>
      <c r="BC9" s="49"/>
      <c r="BD9" s="49"/>
      <c r="BE9" s="35"/>
      <c r="BF9" s="71"/>
      <c r="BG9" s="71"/>
      <c r="BH9" s="71"/>
      <c r="BI9" s="71"/>
      <c r="BJ9" s="49"/>
      <c r="BK9" s="145">
        <f t="shared" si="11"/>
        <v>2706</v>
      </c>
      <c r="BL9" s="145">
        <f t="shared" si="12"/>
        <v>2272</v>
      </c>
      <c r="BM9" s="145">
        <f t="shared" si="13"/>
        <v>2349</v>
      </c>
      <c r="BN9" s="32">
        <f>(BM9-BL9)/BL9</f>
        <v>3.3890845070422539E-2</v>
      </c>
    </row>
    <row r="10" spans="2:69" s="9" customFormat="1">
      <c r="B10" s="249" t="s">
        <v>7</v>
      </c>
      <c r="C10" s="187">
        <f>SUM(C6:C9)</f>
        <v>195747</v>
      </c>
      <c r="D10" s="187">
        <f>SUM(D6:D9)</f>
        <v>171189</v>
      </c>
      <c r="E10" s="15">
        <f>SUM(E6:E9)</f>
        <v>165449</v>
      </c>
      <c r="F10" s="50">
        <f>(E10-D10)/D10</f>
        <v>-3.353019177634077E-2</v>
      </c>
      <c r="G10" s="145">
        <f>SUM(G6:G9)</f>
        <v>215262</v>
      </c>
      <c r="H10" s="15">
        <f>SUM(H6:H9)</f>
        <v>211275</v>
      </c>
      <c r="I10" s="15">
        <f>SUM(I6:I9)</f>
        <v>173834</v>
      </c>
      <c r="J10" s="50">
        <f>(I10-H10)/H10</f>
        <v>-0.17721453082475447</v>
      </c>
      <c r="K10" s="145">
        <f>SUM(K6:K9)</f>
        <v>279304</v>
      </c>
      <c r="L10" s="15">
        <f>SUM(L6:L9)</f>
        <v>82401</v>
      </c>
      <c r="M10" s="15">
        <f>SUM(M6:M9)</f>
        <v>235402</v>
      </c>
      <c r="N10" s="227">
        <f>SUM(N6:N9)</f>
        <v>690313</v>
      </c>
      <c r="O10" s="227">
        <f t="shared" ref="O10:P10" si="14">SUM(O6:O9)</f>
        <v>464865</v>
      </c>
      <c r="P10" s="227">
        <f t="shared" si="14"/>
        <v>574685</v>
      </c>
      <c r="Q10" s="223">
        <f t="shared" si="4"/>
        <v>1.8567857186199197</v>
      </c>
      <c r="R10" s="289">
        <f>SUM(R6:R9)</f>
        <v>237488</v>
      </c>
      <c r="S10" s="145">
        <f>SUM(S6:S9)</f>
        <v>29649</v>
      </c>
      <c r="T10" s="145">
        <f>SUM(T6:T9)</f>
        <v>184805</v>
      </c>
      <c r="U10" s="50">
        <f t="shared" si="5"/>
        <v>5.2330938648858307</v>
      </c>
      <c r="V10" s="289">
        <f>SUM(V6:V9)</f>
        <v>241586</v>
      </c>
      <c r="W10" s="15">
        <f>SUM(W6:W9)</f>
        <v>127261</v>
      </c>
      <c r="X10" s="145">
        <f>SUM(X6:X9)</f>
        <v>180778</v>
      </c>
      <c r="Y10" s="50">
        <f t="shared" si="6"/>
        <v>0.42052946307195449</v>
      </c>
      <c r="Z10" s="289">
        <f>SUM(Z6:Z9)</f>
        <v>286991</v>
      </c>
      <c r="AA10" s="15">
        <f>SUM(AA6:AA9)</f>
        <v>291064</v>
      </c>
      <c r="AB10" s="145">
        <f>SUM(AB6:AB9)</f>
        <v>251367</v>
      </c>
      <c r="AC10" s="145">
        <f t="shared" si="7"/>
        <v>766065</v>
      </c>
      <c r="AD10" s="145">
        <f t="shared" si="8"/>
        <v>447974</v>
      </c>
      <c r="AE10" s="145">
        <f t="shared" si="9"/>
        <v>616950</v>
      </c>
      <c r="AF10" s="50">
        <f t="shared" si="10"/>
        <v>-0.13638581205508066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145">
        <f t="shared" si="11"/>
        <v>1456378</v>
      </c>
      <c r="BL10" s="54">
        <f>SUM(D10,H10,L10,S10,W10,AA10,AH10,AL10,AP10,AW10,BA10,BE10)</f>
        <v>912839</v>
      </c>
      <c r="BM10" s="145">
        <f>SUM(E10,I10,M10,T10,X10,AB10,AI10,AM10,AQ10,AX10,BB10,BF10)</f>
        <v>1191635</v>
      </c>
      <c r="BN10" s="30">
        <f>(BM10-BL10)/BL10</f>
        <v>0.30541639872967741</v>
      </c>
      <c r="BP10" s="21"/>
      <c r="BQ10" s="20"/>
    </row>
    <row r="12" spans="2:69">
      <c r="B12" s="21" t="s">
        <v>50</v>
      </c>
      <c r="D12" s="67" t="s">
        <v>96</v>
      </c>
      <c r="AA12" s="67"/>
      <c r="BL12" s="64"/>
      <c r="BM12" s="64"/>
    </row>
    <row r="13" spans="2:69">
      <c r="D13" s="67" t="s">
        <v>97</v>
      </c>
      <c r="AB13" s="68"/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</row>
    <row r="14" spans="2:69">
      <c r="B14" s="92"/>
      <c r="C14" s="92"/>
      <c r="D14" s="22"/>
      <c r="E14" s="22"/>
      <c r="F14" s="22"/>
      <c r="G14" s="63"/>
      <c r="H14" s="22"/>
      <c r="I14" s="22"/>
      <c r="AB14" s="68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</row>
    <row r="15" spans="2:69">
      <c r="AB15" s="68"/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</row>
    <row r="16" spans="2:69">
      <c r="D16" s="23"/>
      <c r="E16" s="23"/>
      <c r="F16" s="23"/>
      <c r="G16" s="142"/>
      <c r="H16" s="23"/>
      <c r="I16" s="23"/>
      <c r="AB16" s="68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</row>
    <row r="17" spans="4:64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</row>
    <row r="18" spans="4:64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</row>
    <row r="19" spans="4:64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</row>
    <row r="20" spans="4:64">
      <c r="D20" s="23"/>
      <c r="E20" s="23"/>
      <c r="F20" s="23"/>
      <c r="G20" s="142"/>
      <c r="H20" s="23"/>
      <c r="I20" s="23"/>
      <c r="Q20" s="51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</row>
    <row r="21" spans="4:64">
      <c r="D21" s="23"/>
      <c r="E21" s="23"/>
      <c r="F21" s="23"/>
      <c r="G21" s="142"/>
      <c r="H21" s="23"/>
      <c r="I21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22C45033-FA5A-483C-9442-08678C03A8B3}"/>
    <hyperlink ref="D13" r:id="rId2" xr:uid="{D702863A-7867-4622-BC73-1537D0766D64}"/>
  </hyperlinks>
  <pageMargins left="0.7" right="0.7" top="0.78740157499999996" bottom="0.78740157499999996" header="0.3" footer="0.3"/>
  <pageSetup paperSize="9" orientation="portrait" verticalDpi="0" r:id="rId3"/>
  <ignoredErrors>
    <ignoredError sqref="C10:E10 G10 K10 R10:T10 V10:X10 Z10:AB10" formulaRange="1"/>
    <ignoredError sqref="F10 J10 Q10 U10 Y10" formula="1"/>
    <ignoredError sqref="H10:I10 L10:M10" formula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4E86-972B-46D3-B6E5-B61C458B9D61}">
  <dimension ref="A1:BQ23"/>
  <sheetViews>
    <sheetView topLeftCell="B1" zoomScaleNormal="100" workbookViewId="0">
      <pane xSplit="1" topLeftCell="AV1" activePane="topRight" state="frozen"/>
      <selection activeCell="G14" sqref="G14"/>
      <selection pane="topRight" activeCell="BK6" sqref="BK6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85546875" style="51" bestFit="1" customWidth="1"/>
    <col min="4" max="4" width="9.28515625" style="21" customWidth="1"/>
    <col min="5" max="5" width="9.5703125" style="21" customWidth="1"/>
    <col min="6" max="6" width="11.5703125" style="21" customWidth="1"/>
    <col min="7" max="7" width="7.42578125" style="51" bestFit="1" customWidth="1"/>
    <col min="8" max="8" width="8.5703125" style="21" customWidth="1"/>
    <col min="9" max="9" width="10.140625" style="21" customWidth="1"/>
    <col min="10" max="10" width="10.85546875" style="21" customWidth="1"/>
    <col min="11" max="11" width="9.285156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.7109375" style="21" customWidth="1"/>
    <col min="18" max="18" width="10.710937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7109375" style="51" customWidth="1"/>
    <col min="23" max="23" width="9.7109375" style="21" customWidth="1"/>
    <col min="24" max="24" width="10.42578125" style="21" customWidth="1"/>
    <col min="25" max="25" width="10.140625" style="21" bestFit="1" customWidth="1"/>
    <col min="26" max="26" width="10" style="51" customWidth="1"/>
    <col min="27" max="27" width="10.42578125" style="21" customWidth="1"/>
    <col min="28" max="28" width="9.5703125" style="21" customWidth="1"/>
    <col min="29" max="31" width="9.5703125" style="51" customWidth="1"/>
    <col min="32" max="32" width="11.42578125" style="21"/>
    <col min="33" max="33" width="10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17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63">
        <f>VLOOKUP(B6,[1]Germany!$B$4:$D$9,2,FALSE)</f>
        <v>265702</v>
      </c>
      <c r="D6" s="185">
        <v>246300</v>
      </c>
      <c r="E6" s="31">
        <v>169754</v>
      </c>
      <c r="F6" s="198">
        <f>(E6-D6)/D6</f>
        <v>-0.31078359723913929</v>
      </c>
      <c r="G6" s="53">
        <v>268867</v>
      </c>
      <c r="H6" s="53">
        <v>239943</v>
      </c>
      <c r="I6" s="31">
        <v>194349</v>
      </c>
      <c r="J6" s="198">
        <f>(I6-H6)/H6</f>
        <v>-0.19002012978082294</v>
      </c>
      <c r="K6" s="53">
        <v>345523</v>
      </c>
      <c r="L6" s="53">
        <v>215119</v>
      </c>
      <c r="M6" s="214">
        <v>292349</v>
      </c>
      <c r="N6" s="53">
        <f>SUM(C6,G6,K6)</f>
        <v>880092</v>
      </c>
      <c r="O6" s="53">
        <f>SUM(D6,H6,L6)</f>
        <v>701362</v>
      </c>
      <c r="P6" s="53">
        <f>SUM(E6,I6,M6)</f>
        <v>656452</v>
      </c>
      <c r="Q6" s="222">
        <f>(M6-L6)/L6</f>
        <v>0.35901059413626879</v>
      </c>
      <c r="R6" s="214">
        <v>310715</v>
      </c>
      <c r="S6" s="214">
        <v>120840</v>
      </c>
      <c r="T6" s="214">
        <v>229650</v>
      </c>
      <c r="U6" s="49">
        <f>(T6-S6)/S6</f>
        <v>0.9004468718967229</v>
      </c>
      <c r="V6" s="339">
        <v>332962</v>
      </c>
      <c r="W6" s="339">
        <v>168148</v>
      </c>
      <c r="X6" s="339">
        <v>230635</v>
      </c>
      <c r="Y6" s="49">
        <f>(X6-W6)/W6</f>
        <v>0.37161904988462546</v>
      </c>
      <c r="Z6" s="53">
        <v>325231</v>
      </c>
      <c r="AA6" s="53">
        <v>220272</v>
      </c>
      <c r="AB6" s="31">
        <v>274152</v>
      </c>
      <c r="AC6" s="53">
        <f>SUM(R6,V6,Z6)</f>
        <v>968908</v>
      </c>
      <c r="AD6" s="53">
        <f>SUM(S6,W6,AA6)</f>
        <v>509260</v>
      </c>
      <c r="AE6" s="53">
        <f>SUM(T6,X6,AB6)</f>
        <v>734437</v>
      </c>
      <c r="AF6" s="49">
        <f>(AB6-AA6)/AA6</f>
        <v>0.244606668119416</v>
      </c>
      <c r="AG6" s="49"/>
      <c r="AH6" s="31"/>
      <c r="AI6" s="31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31"/>
      <c r="AY6" s="49"/>
      <c r="AZ6" s="49"/>
      <c r="BA6" s="53"/>
      <c r="BB6" s="53"/>
      <c r="BC6" s="49"/>
      <c r="BD6" s="49"/>
      <c r="BE6" s="31"/>
      <c r="BF6" s="31"/>
      <c r="BG6" s="53"/>
      <c r="BH6" s="53"/>
      <c r="BI6" s="53"/>
      <c r="BJ6" s="49"/>
      <c r="BK6" s="145">
        <f>SUM(C6,G6,K6,R6,V6,Z6,AG6,AK6,AO6,AV6,AZ6,BD6)</f>
        <v>1849000</v>
      </c>
      <c r="BL6" s="54">
        <f>SUM(D6,H6,L6,S6,W6,AA6,AH6,AL6,AP6,AW6,BA6,BE6)</f>
        <v>1210622</v>
      </c>
      <c r="BM6" s="145">
        <f>SUM(E6,I6,M6,T6,X6,AB6,AI6,AM6,AQ6,AX6,BB6,BF6)</f>
        <v>1390889</v>
      </c>
      <c r="BN6" s="32">
        <f>(BM6-BL6)/BL6</f>
        <v>0.14890444746584813</v>
      </c>
    </row>
    <row r="7" spans="2:69">
      <c r="B7" s="248" t="s">
        <v>3</v>
      </c>
      <c r="C7" s="263">
        <f>VLOOKUP(B7,[1]Germany!$B$4:$D$9,2,FALSE)</f>
        <v>22194</v>
      </c>
      <c r="D7" s="185">
        <v>21539</v>
      </c>
      <c r="E7" s="31">
        <v>17550</v>
      </c>
      <c r="F7" s="198">
        <f>(E7-D7)/D7</f>
        <v>-0.18519894145503504</v>
      </c>
      <c r="G7" s="53">
        <v>22339</v>
      </c>
      <c r="H7" s="53">
        <v>21488</v>
      </c>
      <c r="I7" s="31">
        <v>20991</v>
      </c>
      <c r="J7" s="198">
        <f t="shared" ref="J7:J10" si="0">(I7-H7)/H7</f>
        <v>-2.3129188384214447E-2</v>
      </c>
      <c r="K7" s="53">
        <v>27939</v>
      </c>
      <c r="L7" s="53">
        <v>20876</v>
      </c>
      <c r="M7" s="214">
        <v>28470</v>
      </c>
      <c r="N7" s="53">
        <f t="shared" ref="N7:N9" si="1">SUM(C7,G7,K7)</f>
        <v>72472</v>
      </c>
      <c r="O7" s="53">
        <f t="shared" ref="O7:O9" si="2">SUM(D7,H7,L7)</f>
        <v>63903</v>
      </c>
      <c r="P7" s="53">
        <f t="shared" ref="P7:P9" si="3">SUM(E7,I7,M7)</f>
        <v>67011</v>
      </c>
      <c r="Q7" s="222">
        <f t="shared" ref="Q7:Q10" si="4">(M7-L7)/L7</f>
        <v>0.36376700517340488</v>
      </c>
      <c r="R7" s="214">
        <v>25854</v>
      </c>
      <c r="S7" s="214">
        <v>13718</v>
      </c>
      <c r="T7" s="214">
        <v>23430</v>
      </c>
      <c r="U7" s="49">
        <f t="shared" ref="U7:U10" si="5">(T7-S7)/S7</f>
        <v>0.7079749234582301</v>
      </c>
      <c r="V7" s="339">
        <v>28930</v>
      </c>
      <c r="W7" s="339">
        <v>15761</v>
      </c>
      <c r="X7" s="339">
        <v>23279</v>
      </c>
      <c r="Y7" s="49">
        <f t="shared" ref="Y7:Y10" si="6">(X7-W7)/W7</f>
        <v>0.47700019034325231</v>
      </c>
      <c r="Z7" s="53">
        <v>25569</v>
      </c>
      <c r="AA7" s="53">
        <v>21036</v>
      </c>
      <c r="AB7" s="31">
        <v>26972</v>
      </c>
      <c r="AC7" s="53">
        <f t="shared" ref="AC7:AC10" si="7">SUM(R7,V7,Z7)</f>
        <v>80353</v>
      </c>
      <c r="AD7" s="53">
        <f t="shared" ref="AD7:AD10" si="8">SUM(S7,W7,AA7)</f>
        <v>50515</v>
      </c>
      <c r="AE7" s="53">
        <f t="shared" ref="AE7:AE10" si="9">SUM(T7,X7,AB7)</f>
        <v>73681</v>
      </c>
      <c r="AF7" s="49">
        <f t="shared" ref="AF7:AF10" si="10">(AB7-AA7)/AA7</f>
        <v>0.2821829245103632</v>
      </c>
      <c r="AG7" s="49"/>
      <c r="AH7" s="31"/>
      <c r="AI7" s="31"/>
      <c r="AJ7" s="49"/>
      <c r="AK7" s="49"/>
      <c r="AL7" s="31"/>
      <c r="AM7" s="31"/>
      <c r="AN7" s="49"/>
      <c r="AO7" s="49"/>
      <c r="AP7" s="31"/>
      <c r="AQ7" s="31"/>
      <c r="AR7" s="53"/>
      <c r="AS7" s="53"/>
      <c r="AT7" s="53"/>
      <c r="AU7" s="49"/>
      <c r="AV7" s="49"/>
      <c r="AW7" s="31"/>
      <c r="AX7" s="31"/>
      <c r="AY7" s="49"/>
      <c r="AZ7" s="49"/>
      <c r="BA7" s="53"/>
      <c r="BB7" s="53"/>
      <c r="BC7" s="49"/>
      <c r="BD7" s="49"/>
      <c r="BE7" s="31"/>
      <c r="BF7" s="31"/>
      <c r="BG7" s="53"/>
      <c r="BH7" s="53"/>
      <c r="BI7" s="53"/>
      <c r="BJ7" s="49"/>
      <c r="BK7" s="145">
        <f t="shared" ref="BK7:BK10" si="11">SUM(C7,G7,K7,R7,V7,Z7,AG7,AK7,AO7,AV7,AZ7,BD7)</f>
        <v>152825</v>
      </c>
      <c r="BL7" s="145">
        <f t="shared" ref="BL7:BL9" si="12">SUM(D7,H7,L7,S7,W7,AA7,AH7,AL7,AP7,AW7,BA7,BE7)</f>
        <v>114418</v>
      </c>
      <c r="BM7" s="145">
        <f t="shared" ref="BM7:BM9" si="13">SUM(E7,I7,M7,T7,X7,AB7,AI7,AM7,AQ7,AX7,BB7,BF7)</f>
        <v>140692</v>
      </c>
      <c r="BN7" s="32">
        <f>(BM7-BL7)/BL7</f>
        <v>0.22963170130573859</v>
      </c>
    </row>
    <row r="8" spans="2:69">
      <c r="B8" s="248" t="s">
        <v>4</v>
      </c>
      <c r="C8" s="263">
        <f>VLOOKUP(B8,[1]Germany!$B$4:$D$9,2,FALSE)</f>
        <v>8478</v>
      </c>
      <c r="D8" s="185">
        <v>6742</v>
      </c>
      <c r="E8" s="31">
        <v>5967</v>
      </c>
      <c r="F8" s="198">
        <f>(E8-D8)/D8</f>
        <v>-0.11495105309997034</v>
      </c>
      <c r="G8" s="53">
        <v>7723</v>
      </c>
      <c r="H8" s="53">
        <v>6134</v>
      </c>
      <c r="I8" s="31">
        <v>6209</v>
      </c>
      <c r="J8" s="198">
        <f t="shared" si="0"/>
        <v>1.2226931855233127E-2</v>
      </c>
      <c r="K8" s="53">
        <v>9328</v>
      </c>
      <c r="L8" s="53">
        <v>6759</v>
      </c>
      <c r="M8" s="214">
        <v>8851</v>
      </c>
      <c r="N8" s="53">
        <f t="shared" si="1"/>
        <v>25529</v>
      </c>
      <c r="O8" s="53">
        <f t="shared" si="2"/>
        <v>19635</v>
      </c>
      <c r="P8" s="53">
        <f t="shared" si="3"/>
        <v>21027</v>
      </c>
      <c r="Q8" s="222">
        <f t="shared" si="4"/>
        <v>0.30951324160378757</v>
      </c>
      <c r="R8" s="214">
        <v>9058</v>
      </c>
      <c r="S8" s="214">
        <v>5500</v>
      </c>
      <c r="T8" s="214">
        <v>7292</v>
      </c>
      <c r="U8" s="49">
        <f t="shared" si="5"/>
        <v>0.32581818181818184</v>
      </c>
      <c r="V8" s="339">
        <v>9978</v>
      </c>
      <c r="W8" s="339">
        <v>4535</v>
      </c>
      <c r="X8" s="339">
        <v>6532</v>
      </c>
      <c r="Y8" s="49">
        <f t="shared" si="6"/>
        <v>0.44035281146637267</v>
      </c>
      <c r="Z8" s="53">
        <v>12663</v>
      </c>
      <c r="AA8" s="53">
        <v>5527</v>
      </c>
      <c r="AB8" s="31">
        <v>7178</v>
      </c>
      <c r="AC8" s="53">
        <f t="shared" si="7"/>
        <v>31699</v>
      </c>
      <c r="AD8" s="53">
        <f t="shared" si="8"/>
        <v>15562</v>
      </c>
      <c r="AE8" s="53">
        <f t="shared" si="9"/>
        <v>21002</v>
      </c>
      <c r="AF8" s="49">
        <f t="shared" si="10"/>
        <v>0.29871539714130629</v>
      </c>
      <c r="AG8" s="49"/>
      <c r="AH8" s="31"/>
      <c r="AI8" s="31"/>
      <c r="AJ8" s="49"/>
      <c r="AK8" s="49"/>
      <c r="AL8" s="31"/>
      <c r="AM8" s="31"/>
      <c r="AN8" s="49"/>
      <c r="AO8" s="49"/>
      <c r="AP8" s="31"/>
      <c r="AQ8" s="31"/>
      <c r="AR8" s="53"/>
      <c r="AS8" s="53"/>
      <c r="AT8" s="53"/>
      <c r="AU8" s="49"/>
      <c r="AV8" s="49"/>
      <c r="AW8" s="31"/>
      <c r="AX8" s="31"/>
      <c r="AY8" s="49"/>
      <c r="AZ8" s="49"/>
      <c r="BA8" s="53"/>
      <c r="BB8" s="53"/>
      <c r="BC8" s="49"/>
      <c r="BD8" s="49"/>
      <c r="BE8" s="31"/>
      <c r="BF8" s="31"/>
      <c r="BG8" s="53"/>
      <c r="BH8" s="53"/>
      <c r="BI8" s="53"/>
      <c r="BJ8" s="49"/>
      <c r="BK8" s="145">
        <f t="shared" si="11"/>
        <v>57228</v>
      </c>
      <c r="BL8" s="145">
        <f t="shared" si="12"/>
        <v>35197</v>
      </c>
      <c r="BM8" s="145">
        <f t="shared" si="13"/>
        <v>42029</v>
      </c>
      <c r="BN8" s="32">
        <f>(BM8-BL8)/BL8</f>
        <v>0.19410745233968804</v>
      </c>
    </row>
    <row r="9" spans="2:69">
      <c r="B9" s="248" t="s">
        <v>5</v>
      </c>
      <c r="C9" s="263">
        <f>VLOOKUP(B9,[1]Germany!$B$4:$D$9,2,FALSE)</f>
        <v>627</v>
      </c>
      <c r="D9" s="185">
        <v>630</v>
      </c>
      <c r="E9" s="31">
        <v>458</v>
      </c>
      <c r="F9" s="198">
        <f>(E9-D9)/D9</f>
        <v>-0.27301587301587299</v>
      </c>
      <c r="G9" s="53">
        <v>369</v>
      </c>
      <c r="H9" s="53">
        <v>493</v>
      </c>
      <c r="I9" s="31">
        <v>393</v>
      </c>
      <c r="J9" s="198">
        <f t="shared" si="0"/>
        <v>-0.20283975659229209</v>
      </c>
      <c r="K9" s="53">
        <v>434</v>
      </c>
      <c r="L9" s="53">
        <v>485</v>
      </c>
      <c r="M9" s="214">
        <v>422</v>
      </c>
      <c r="N9" s="53">
        <f t="shared" si="1"/>
        <v>1430</v>
      </c>
      <c r="O9" s="53">
        <f t="shared" si="2"/>
        <v>1608</v>
      </c>
      <c r="P9" s="53">
        <f t="shared" si="3"/>
        <v>1273</v>
      </c>
      <c r="Q9" s="222">
        <f t="shared" si="4"/>
        <v>-0.12989690721649486</v>
      </c>
      <c r="R9" s="214">
        <v>547</v>
      </c>
      <c r="S9" s="214">
        <v>237</v>
      </c>
      <c r="T9" s="214">
        <v>410</v>
      </c>
      <c r="U9" s="49">
        <f t="shared" si="5"/>
        <v>0.72995780590717296</v>
      </c>
      <c r="V9" s="339">
        <v>640</v>
      </c>
      <c r="W9" s="339">
        <v>327</v>
      </c>
      <c r="X9" s="339">
        <v>379</v>
      </c>
      <c r="Y9" s="49">
        <f t="shared" si="6"/>
        <v>0.15902140672782875</v>
      </c>
      <c r="Z9" s="52">
        <v>636</v>
      </c>
      <c r="AA9" s="52">
        <v>455</v>
      </c>
      <c r="AB9" s="10">
        <v>564</v>
      </c>
      <c r="AC9" s="53">
        <f t="shared" si="7"/>
        <v>1823</v>
      </c>
      <c r="AD9" s="53">
        <f t="shared" si="8"/>
        <v>1019</v>
      </c>
      <c r="AE9" s="53">
        <f t="shared" si="9"/>
        <v>1353</v>
      </c>
      <c r="AF9" s="49">
        <f t="shared" si="10"/>
        <v>0.23956043956043957</v>
      </c>
      <c r="AG9" s="49"/>
      <c r="AH9" s="10"/>
      <c r="AI9" s="10"/>
      <c r="AJ9" s="49"/>
      <c r="AK9" s="49"/>
      <c r="AL9" s="10"/>
      <c r="AM9" s="10"/>
      <c r="AN9" s="49"/>
      <c r="AO9" s="206"/>
      <c r="AP9" s="52"/>
      <c r="AQ9" s="236"/>
      <c r="AR9" s="236"/>
      <c r="AS9" s="236"/>
      <c r="AT9" s="236"/>
      <c r="AU9" s="49"/>
      <c r="AV9" s="206"/>
      <c r="AW9" s="52"/>
      <c r="AX9" s="236"/>
      <c r="AY9" s="49"/>
      <c r="AZ9" s="206"/>
      <c r="BA9" s="52"/>
      <c r="BB9" s="236"/>
      <c r="BC9" s="49"/>
      <c r="BD9" s="49"/>
      <c r="BE9" s="10"/>
      <c r="BF9" s="10"/>
      <c r="BG9" s="52"/>
      <c r="BH9" s="52"/>
      <c r="BI9" s="52"/>
      <c r="BJ9" s="49"/>
      <c r="BK9" s="145">
        <f t="shared" si="11"/>
        <v>3253</v>
      </c>
      <c r="BL9" s="145">
        <f t="shared" si="12"/>
        <v>2627</v>
      </c>
      <c r="BM9" s="145">
        <f t="shared" si="13"/>
        <v>2626</v>
      </c>
      <c r="BN9" s="32">
        <f>(BM9-BL9)/BL9</f>
        <v>-3.8066235249333843E-4</v>
      </c>
    </row>
    <row r="10" spans="2:69" s="9" customFormat="1">
      <c r="B10" s="249" t="s">
        <v>7</v>
      </c>
      <c r="C10" s="187">
        <f>SUM(C6:C9)</f>
        <v>297001</v>
      </c>
      <c r="D10" s="187">
        <f>SUM(D6:D9)</f>
        <v>275211</v>
      </c>
      <c r="E10" s="15">
        <f>SUM(E6:E9)</f>
        <v>193729</v>
      </c>
      <c r="F10" s="50">
        <f>(E10-D10)/D10</f>
        <v>-0.29607101460334073</v>
      </c>
      <c r="G10" s="145">
        <f>SUM(G6:G9)</f>
        <v>299298</v>
      </c>
      <c r="H10" s="15">
        <f>SUM(H6:H9)</f>
        <v>268058</v>
      </c>
      <c r="I10" s="15">
        <f>SUM(I6:I9)</f>
        <v>221942</v>
      </c>
      <c r="J10" s="199">
        <f t="shared" si="0"/>
        <v>-0.1720373948921502</v>
      </c>
      <c r="K10" s="145">
        <f>SUM(K6:K9)</f>
        <v>383224</v>
      </c>
      <c r="L10" s="15">
        <f>SUM(L6:L9)</f>
        <v>243239</v>
      </c>
      <c r="M10" s="15">
        <f>SUM(M6:M9)</f>
        <v>330092</v>
      </c>
      <c r="N10" s="227">
        <f>SUM(N6:N9)</f>
        <v>979523</v>
      </c>
      <c r="O10" s="227">
        <f t="shared" ref="O10:P10" si="14">SUM(O6:O9)</f>
        <v>786508</v>
      </c>
      <c r="P10" s="227">
        <f t="shared" si="14"/>
        <v>745763</v>
      </c>
      <c r="Q10" s="223">
        <f t="shared" si="4"/>
        <v>0.35706856219602939</v>
      </c>
      <c r="R10" s="215">
        <f>SUM(R6:R9)</f>
        <v>346174</v>
      </c>
      <c r="S10" s="215">
        <f t="shared" ref="S10:T10" si="15">SUM(S6:S9)</f>
        <v>140295</v>
      </c>
      <c r="T10" s="215">
        <f t="shared" si="15"/>
        <v>260782</v>
      </c>
      <c r="U10" s="50">
        <f t="shared" si="5"/>
        <v>0.85881178944367231</v>
      </c>
      <c r="V10" s="340">
        <f>SUM(V6:V9)</f>
        <v>372510</v>
      </c>
      <c r="W10" s="340">
        <f t="shared" ref="W10:X10" si="16">SUM(W6:W9)</f>
        <v>188771</v>
      </c>
      <c r="X10" s="340">
        <f t="shared" si="16"/>
        <v>260825</v>
      </c>
      <c r="Y10" s="50">
        <f t="shared" si="6"/>
        <v>0.38170057900842819</v>
      </c>
      <c r="Z10" s="340">
        <f>SUM(Z6:Z9)</f>
        <v>364099</v>
      </c>
      <c r="AA10" s="340">
        <f>SUM(AA6:AA9)</f>
        <v>247290</v>
      </c>
      <c r="AB10" s="340">
        <f>SUM(AB6:AB9)</f>
        <v>308866</v>
      </c>
      <c r="AC10" s="145">
        <f t="shared" si="7"/>
        <v>1082783</v>
      </c>
      <c r="AD10" s="145">
        <f t="shared" si="8"/>
        <v>576356</v>
      </c>
      <c r="AE10" s="145">
        <f t="shared" si="9"/>
        <v>830473</v>
      </c>
      <c r="AF10" s="50">
        <f t="shared" si="10"/>
        <v>0.2490031946297869</v>
      </c>
      <c r="AG10" s="50"/>
      <c r="AH10" s="15"/>
      <c r="AI10" s="15"/>
      <c r="AJ10" s="50"/>
      <c r="AK10" s="50"/>
      <c r="AL10" s="15"/>
      <c r="AM10" s="15"/>
      <c r="AN10" s="50"/>
      <c r="AO10" s="50"/>
      <c r="AP10" s="227"/>
      <c r="AQ10" s="15"/>
      <c r="AR10" s="145"/>
      <c r="AS10" s="145"/>
      <c r="AT10" s="145"/>
      <c r="AU10" s="50"/>
      <c r="AV10" s="50"/>
      <c r="AW10" s="227"/>
      <c r="AX10" s="15"/>
      <c r="AY10" s="50"/>
      <c r="AZ10" s="50"/>
      <c r="BA10" s="227"/>
      <c r="BB10" s="15"/>
      <c r="BC10" s="50"/>
      <c r="BD10" s="50"/>
      <c r="BE10" s="145"/>
      <c r="BF10" s="145"/>
      <c r="BG10" s="145"/>
      <c r="BH10" s="145"/>
      <c r="BI10" s="145"/>
      <c r="BJ10" s="50"/>
      <c r="BK10" s="145">
        <f t="shared" si="11"/>
        <v>2062306</v>
      </c>
      <c r="BL10" s="54">
        <f>SUM(D10,H10,L10,S10,W10,AA10,AH10,AL10,AP10,AW10,BA10,BE10)</f>
        <v>1362864</v>
      </c>
      <c r="BM10" s="145">
        <f>SUM(E10,I10,M10,T10,X10,AB10,AI10,AM10,AQ10,AX10,BB10,BF10)</f>
        <v>1576236</v>
      </c>
      <c r="BN10" s="30">
        <f>(BM10-BL10)/BL10</f>
        <v>0.15656147642024443</v>
      </c>
      <c r="BP10" s="21"/>
      <c r="BQ10" s="20"/>
    </row>
    <row r="12" spans="2:69">
      <c r="B12" s="21" t="s">
        <v>23</v>
      </c>
      <c r="D12" s="67" t="s">
        <v>98</v>
      </c>
      <c r="AX12" s="51"/>
      <c r="BL12" s="142"/>
    </row>
    <row r="13" spans="2:69"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51"/>
      <c r="BB13" s="51"/>
      <c r="BC13" s="51"/>
      <c r="BE13" s="51"/>
      <c r="BF13" s="51"/>
      <c r="BJ13" s="51"/>
      <c r="BM13" s="142"/>
    </row>
    <row r="14" spans="2:69">
      <c r="D14" s="22"/>
      <c r="E14" s="22"/>
      <c r="F14" s="22"/>
      <c r="G14" s="63"/>
      <c r="H14" s="22"/>
      <c r="I14" s="22"/>
      <c r="AU14" s="64"/>
      <c r="AV14" s="142"/>
      <c r="AW14" s="64"/>
      <c r="AX14" s="51"/>
      <c r="AY14" s="51"/>
      <c r="BA14" s="51"/>
      <c r="BB14" s="51"/>
      <c r="BC14" s="51"/>
      <c r="BE14" s="51"/>
      <c r="BF14" s="51"/>
      <c r="BJ14" s="51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51"/>
      <c r="AW15" s="51"/>
      <c r="AX15" s="51"/>
      <c r="AY15" s="51"/>
      <c r="BA15" s="51"/>
      <c r="BB15" s="51"/>
      <c r="BC15" s="51"/>
      <c r="BE15" s="51"/>
      <c r="BF15" s="51"/>
      <c r="BJ15" s="51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64"/>
      <c r="AV16" s="142"/>
      <c r="AW16" s="64"/>
      <c r="AX16" s="51"/>
      <c r="AY16" s="51"/>
      <c r="BA16" s="51"/>
      <c r="BB16" s="51"/>
      <c r="BC16" s="51"/>
      <c r="BE16" s="51"/>
      <c r="BF16" s="51"/>
      <c r="BJ16" s="51"/>
    </row>
    <row r="17" spans="4:62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51"/>
      <c r="AW17" s="51"/>
      <c r="AX17" s="51"/>
      <c r="AY17" s="51"/>
      <c r="BA17" s="51"/>
      <c r="BB17" s="51"/>
      <c r="BC17" s="51"/>
      <c r="BE17" s="51"/>
      <c r="BF17" s="51"/>
      <c r="BJ17" s="51"/>
    </row>
    <row r="18" spans="4:62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64"/>
      <c r="AO18" s="142"/>
      <c r="AP18" s="64"/>
      <c r="AQ18" s="23"/>
      <c r="AR18" s="142"/>
      <c r="AS18" s="142"/>
      <c r="AT18" s="142"/>
      <c r="AU18" s="64"/>
      <c r="AV18" s="142"/>
      <c r="AW18" s="64"/>
      <c r="AX18" s="51"/>
      <c r="AY18" s="51"/>
      <c r="BA18" s="51"/>
      <c r="BB18" s="51"/>
      <c r="BC18" s="51"/>
      <c r="BE18" s="51"/>
      <c r="BF18" s="51"/>
      <c r="BJ18" s="51"/>
    </row>
    <row r="19" spans="4:62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117"/>
      <c r="AV19" s="117"/>
      <c r="AW19" s="117"/>
      <c r="AX19" s="117"/>
      <c r="AY19" s="117"/>
      <c r="AZ19" s="117"/>
      <c r="BA19" s="44"/>
      <c r="BB19" s="23"/>
      <c r="BC19" s="23"/>
      <c r="BD19" s="142"/>
    </row>
    <row r="20" spans="4:62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117"/>
      <c r="AV20" s="117"/>
      <c r="AW20" s="117"/>
      <c r="AX20" s="117"/>
      <c r="AY20" s="117"/>
      <c r="AZ20" s="117"/>
      <c r="BA20" s="44"/>
      <c r="BB20" s="23"/>
      <c r="BC20" s="23"/>
      <c r="BD20" s="142"/>
    </row>
    <row r="21" spans="4:62">
      <c r="D21" s="23"/>
      <c r="E21" s="23"/>
      <c r="F21" s="23"/>
      <c r="G21" s="142"/>
      <c r="H21" s="23"/>
      <c r="I21" s="23"/>
      <c r="AU21" s="117"/>
      <c r="AV21" s="117"/>
      <c r="AW21" s="117"/>
      <c r="AX21" s="117"/>
      <c r="AY21" s="117"/>
      <c r="AZ21" s="117"/>
      <c r="BA21" s="45"/>
    </row>
    <row r="22" spans="4:62">
      <c r="AU22" s="115"/>
      <c r="AV22" s="115"/>
      <c r="AW22" s="133"/>
      <c r="AX22" s="115"/>
      <c r="AY22" s="115"/>
      <c r="AZ22" s="115"/>
      <c r="BA22" s="45"/>
    </row>
    <row r="23" spans="4:62">
      <c r="AU23" s="45"/>
      <c r="AV23" s="45"/>
      <c r="AW23" s="45"/>
      <c r="AX23" s="45"/>
      <c r="AY23" s="45"/>
      <c r="AZ23" s="45"/>
      <c r="BA23" s="45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B2F7D5FA-17BF-400E-A239-9DE8DDAF2972}"/>
  </hyperlinks>
  <pageMargins left="0.7" right="0.7" top="0.78740157499999996" bottom="0.78740157499999996" header="0.3" footer="0.3"/>
  <pageSetup paperSize="9" orientation="portrait" r:id="rId2"/>
  <ignoredErrors>
    <ignoredError sqref="D10:E10 G10:I10 K10:M10 R10:T10 V10:X10 Z10:AB10" formulaRange="1"/>
    <ignoredError sqref="F10" formula="1" formulaRange="1"/>
    <ignoredError sqref="J10 Q10 U10 Y1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F9C6-AF26-4A6A-AED6-31C9D1CE3AA7}">
  <dimension ref="A1:BQ27"/>
  <sheetViews>
    <sheetView topLeftCell="B1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24.140625" style="21" customWidth="1"/>
    <col min="3" max="3" width="8.85546875" style="51" bestFit="1" customWidth="1"/>
    <col min="4" max="4" width="9.28515625" style="21" customWidth="1"/>
    <col min="5" max="5" width="11.28515625" style="21" customWidth="1"/>
    <col min="6" max="6" width="11.5703125" style="21" customWidth="1"/>
    <col min="7" max="7" width="10.140625" style="51" customWidth="1"/>
    <col min="8" max="8" width="9.42578125" style="21" customWidth="1"/>
    <col min="9" max="9" width="10.85546875" style="21" customWidth="1"/>
    <col min="10" max="10" width="9.42578125" style="21" customWidth="1"/>
    <col min="11" max="11" width="10.42578125" style="51" customWidth="1"/>
    <col min="12" max="12" width="10" style="21" customWidth="1"/>
    <col min="13" max="13" width="10.28515625" style="21" customWidth="1"/>
    <col min="14" max="14" width="8.5703125" style="51" customWidth="1"/>
    <col min="15" max="15" width="7.5703125" style="51" customWidth="1"/>
    <col min="16" max="16" width="9.42578125" style="51" customWidth="1"/>
    <col min="17" max="17" width="10" style="21" customWidth="1"/>
    <col min="18" max="18" width="10.42578125" style="51" customWidth="1"/>
    <col min="19" max="19" width="9" style="21" customWidth="1"/>
    <col min="20" max="20" width="9.140625" style="21" customWidth="1"/>
    <col min="21" max="21" width="11.140625" style="21" customWidth="1"/>
    <col min="22" max="22" width="10" style="51" customWidth="1"/>
    <col min="23" max="23" width="9.140625" style="21" customWidth="1"/>
    <col min="24" max="24" width="10.7109375" style="21" customWidth="1"/>
    <col min="25" max="25" width="9.85546875" style="21" bestFit="1" customWidth="1"/>
    <col min="26" max="26" width="9.28515625" style="51" customWidth="1"/>
    <col min="27" max="27" width="9.28515625" style="21" customWidth="1"/>
    <col min="28" max="28" width="8.7109375" style="21" customWidth="1"/>
    <col min="29" max="29" width="9.85546875" style="51" customWidth="1"/>
    <col min="30" max="30" width="10.7109375" style="51" customWidth="1"/>
    <col min="31" max="31" width="12.8554687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3.140625" style="316" bestFit="1" customWidth="1"/>
    <col min="64" max="16384" width="11.42578125" style="21"/>
  </cols>
  <sheetData>
    <row r="1" spans="2:69">
      <c r="B1" s="9" t="s">
        <v>27</v>
      </c>
      <c r="C1" s="57"/>
    </row>
    <row r="2" spans="2:69">
      <c r="B2" s="330"/>
      <c r="AB2" s="23"/>
      <c r="AC2" s="142"/>
      <c r="AD2" s="142"/>
      <c r="AE2" s="142"/>
    </row>
    <row r="3" spans="2:69">
      <c r="B3" s="316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83" t="s">
        <v>138</v>
      </c>
      <c r="O4" s="384"/>
      <c r="P4" s="385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3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317">
        <v>2019</v>
      </c>
      <c r="O5" s="317">
        <v>2020</v>
      </c>
      <c r="P5" s="317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87</v>
      </c>
      <c r="C6" s="263">
        <v>260911</v>
      </c>
      <c r="D6" s="254">
        <v>248840</v>
      </c>
      <c r="E6" s="5">
        <v>276554</v>
      </c>
      <c r="F6" s="198">
        <f>(E6-D6)/D6</f>
        <v>0.11137276965118148</v>
      </c>
      <c r="G6" s="277">
        <v>252617</v>
      </c>
      <c r="H6" s="203">
        <v>238622</v>
      </c>
      <c r="I6" s="7">
        <v>281380</v>
      </c>
      <c r="J6" s="206">
        <f>(I6-H6)/H6</f>
        <v>0.17918716631324857</v>
      </c>
      <c r="K6" s="277">
        <v>271508</v>
      </c>
      <c r="L6" s="203">
        <v>135196</v>
      </c>
      <c r="M6" s="212">
        <v>290939</v>
      </c>
      <c r="N6" s="318">
        <v>844195</v>
      </c>
      <c r="O6" s="318">
        <v>655599</v>
      </c>
      <c r="P6" s="318">
        <v>933583</v>
      </c>
      <c r="Q6" s="222">
        <f>(M6-L6)/L6</f>
        <v>1.1519793485014349</v>
      </c>
      <c r="R6" s="53">
        <v>234153</v>
      </c>
      <c r="S6" s="355" t="s">
        <v>146</v>
      </c>
      <c r="T6" s="31">
        <v>261633</v>
      </c>
      <c r="U6" s="356" t="s">
        <v>146</v>
      </c>
      <c r="V6" s="53">
        <v>226975</v>
      </c>
      <c r="W6" s="2">
        <v>33546</v>
      </c>
      <c r="X6" s="31">
        <v>88045</v>
      </c>
      <c r="Y6" s="222">
        <f>(X6-W6)/W6</f>
        <v>1.624605019972575</v>
      </c>
      <c r="Z6" s="143">
        <v>209522</v>
      </c>
      <c r="AA6" s="2">
        <v>105617</v>
      </c>
      <c r="AB6" s="31">
        <v>231633</v>
      </c>
      <c r="AC6" s="342">
        <v>712684</v>
      </c>
      <c r="AD6" s="342">
        <v>153734</v>
      </c>
      <c r="AE6" s="342">
        <v>646272</v>
      </c>
      <c r="AF6" s="49">
        <f>(AB6-AA6)/AA6</f>
        <v>1.1931412556690684</v>
      </c>
      <c r="AG6" s="49"/>
      <c r="AH6" s="357"/>
      <c r="AI6" s="96"/>
      <c r="AJ6" s="49"/>
      <c r="AK6" s="49"/>
      <c r="AL6" s="2"/>
      <c r="AM6" s="53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SUM(N6,AC6,AR6,BG6)</f>
        <v>1556879</v>
      </c>
      <c r="BL6" s="3">
        <f>SUM(O6,AD6,AS6,BH6)</f>
        <v>809333</v>
      </c>
      <c r="BM6" s="3">
        <f>SUM(P6,AE6,AT6,BI6)</f>
        <v>1579855</v>
      </c>
      <c r="BN6" s="13">
        <f>(BM6-BL6)/BL6</f>
        <v>0.95204569688867258</v>
      </c>
    </row>
    <row r="7" spans="2:69">
      <c r="B7" s="248" t="s">
        <v>3</v>
      </c>
      <c r="C7" s="272">
        <v>49630</v>
      </c>
      <c r="D7" s="349" t="s">
        <v>147</v>
      </c>
      <c r="E7" s="349" t="s">
        <v>147</v>
      </c>
      <c r="F7" s="198"/>
      <c r="G7" s="277">
        <v>48563</v>
      </c>
      <c r="H7" s="348" t="s">
        <v>147</v>
      </c>
      <c r="I7" s="348" t="s">
        <v>147</v>
      </c>
      <c r="J7" s="206"/>
      <c r="K7" s="277">
        <v>57267</v>
      </c>
      <c r="L7" s="350" t="s">
        <v>147</v>
      </c>
      <c r="M7" s="350" t="s">
        <v>147</v>
      </c>
      <c r="N7" s="318">
        <f t="shared" ref="N7:N9" si="0">SUM(C7,G7,K7)</f>
        <v>155460</v>
      </c>
      <c r="O7" s="319">
        <v>88189</v>
      </c>
      <c r="P7" s="319">
        <v>125160</v>
      </c>
      <c r="Q7" s="222"/>
      <c r="R7" s="351" t="s">
        <v>147</v>
      </c>
      <c r="S7" s="2"/>
      <c r="T7" s="352" t="s">
        <v>147</v>
      </c>
      <c r="U7" s="49"/>
      <c r="V7" s="353" t="s">
        <v>147</v>
      </c>
      <c r="W7" s="353" t="s">
        <v>147</v>
      </c>
      <c r="X7" s="353" t="s">
        <v>147</v>
      </c>
      <c r="Y7" s="49"/>
      <c r="Z7" s="354" t="s">
        <v>147</v>
      </c>
      <c r="AA7" s="354" t="s">
        <v>147</v>
      </c>
      <c r="AB7" s="354" t="s">
        <v>147</v>
      </c>
      <c r="AC7" s="342">
        <v>118058</v>
      </c>
      <c r="AD7" s="342">
        <v>26373</v>
      </c>
      <c r="AE7" s="342">
        <v>72345</v>
      </c>
      <c r="AF7" s="49"/>
      <c r="AG7" s="49"/>
      <c r="AH7" s="97"/>
      <c r="AI7" s="96"/>
      <c r="AJ7" s="49"/>
      <c r="AK7" s="49"/>
      <c r="AL7" s="2"/>
      <c r="AM7" s="10"/>
      <c r="AN7" s="19"/>
      <c r="AO7" s="19"/>
      <c r="AP7" s="2"/>
      <c r="AQ7" s="10"/>
      <c r="AR7" s="52"/>
      <c r="AS7" s="52"/>
      <c r="AT7" s="52"/>
      <c r="AU7" s="49"/>
      <c r="AV7" s="49"/>
      <c r="AW7" s="2"/>
      <c r="AX7" s="53"/>
      <c r="AY7" s="49"/>
      <c r="AZ7" s="49"/>
      <c r="BA7" s="2"/>
      <c r="BB7" s="10"/>
      <c r="BC7" s="49"/>
      <c r="BD7" s="49"/>
      <c r="BE7" s="4"/>
      <c r="BF7" s="10"/>
      <c r="BG7" s="52"/>
      <c r="BH7" s="52"/>
      <c r="BI7" s="52"/>
      <c r="BJ7" s="49"/>
      <c r="BK7" s="3">
        <f t="shared" ref="BK7:BM10" si="1">SUM(N7,AC7,AR7,BG7)</f>
        <v>273518</v>
      </c>
      <c r="BL7" s="3">
        <f t="shared" si="1"/>
        <v>114562</v>
      </c>
      <c r="BM7" s="3">
        <f t="shared" si="1"/>
        <v>197505</v>
      </c>
      <c r="BN7" s="13">
        <f t="shared" ref="BN7:BN10" si="2">(BM7-BL7)/BL7</f>
        <v>0.72400097763656357</v>
      </c>
    </row>
    <row r="8" spans="2:69">
      <c r="B8" s="248" t="s">
        <v>154</v>
      </c>
      <c r="C8" s="272">
        <v>31001</v>
      </c>
      <c r="D8" s="349" t="s">
        <v>147</v>
      </c>
      <c r="E8" s="349" t="s">
        <v>147</v>
      </c>
      <c r="F8" s="198"/>
      <c r="G8" s="277">
        <v>30831</v>
      </c>
      <c r="H8" s="348" t="s">
        <v>147</v>
      </c>
      <c r="I8" s="348" t="s">
        <v>147</v>
      </c>
      <c r="J8" s="206"/>
      <c r="K8" s="277">
        <v>38167</v>
      </c>
      <c r="L8" s="350" t="s">
        <v>147</v>
      </c>
      <c r="M8" s="350" t="s">
        <v>147</v>
      </c>
      <c r="N8" s="318">
        <f t="shared" si="0"/>
        <v>99999</v>
      </c>
      <c r="O8" s="319">
        <v>37730</v>
      </c>
      <c r="P8" s="319">
        <v>75790</v>
      </c>
      <c r="Q8" s="222"/>
      <c r="R8" s="351" t="s">
        <v>147</v>
      </c>
      <c r="S8" s="2"/>
      <c r="T8" s="352" t="s">
        <v>147</v>
      </c>
      <c r="U8" s="49"/>
      <c r="V8" s="353" t="s">
        <v>147</v>
      </c>
      <c r="W8" s="353" t="s">
        <v>147</v>
      </c>
      <c r="X8" s="353" t="s">
        <v>147</v>
      </c>
      <c r="Y8" s="49"/>
      <c r="Z8" s="354" t="s">
        <v>147</v>
      </c>
      <c r="AA8" s="354" t="s">
        <v>147</v>
      </c>
      <c r="AB8" s="354" t="s">
        <v>147</v>
      </c>
      <c r="AC8" s="342">
        <v>64012</v>
      </c>
      <c r="AD8" s="342">
        <v>4182</v>
      </c>
      <c r="AE8" s="342">
        <v>28072</v>
      </c>
      <c r="AF8" s="49"/>
      <c r="AG8" s="49"/>
      <c r="AH8" s="97"/>
      <c r="AI8" s="96"/>
      <c r="AJ8" s="49"/>
      <c r="AK8" s="49"/>
      <c r="AL8" s="2"/>
      <c r="AM8" s="10"/>
      <c r="AN8" s="19"/>
      <c r="AO8" s="19"/>
      <c r="AP8" s="2"/>
      <c r="AQ8" s="10"/>
      <c r="AR8" s="52"/>
      <c r="AS8" s="52"/>
      <c r="AT8" s="52"/>
      <c r="AU8" s="49"/>
      <c r="AV8" s="49"/>
      <c r="AW8" s="2"/>
      <c r="AX8" s="53"/>
      <c r="AY8" s="49"/>
      <c r="AZ8" s="49"/>
      <c r="BA8" s="2"/>
      <c r="BB8" s="10"/>
      <c r="BC8" s="49"/>
      <c r="BD8" s="49"/>
      <c r="BE8" s="4"/>
      <c r="BF8" s="10"/>
      <c r="BG8" s="52"/>
      <c r="BH8" s="52"/>
      <c r="BI8" s="52"/>
      <c r="BJ8" s="49"/>
      <c r="BK8" s="3">
        <f t="shared" si="1"/>
        <v>164011</v>
      </c>
      <c r="BL8" s="3">
        <f t="shared" si="1"/>
        <v>41912</v>
      </c>
      <c r="BM8" s="3">
        <f t="shared" si="1"/>
        <v>103862</v>
      </c>
      <c r="BN8" s="13">
        <f t="shared" si="2"/>
        <v>1.4780969650696698</v>
      </c>
    </row>
    <row r="9" spans="2:69">
      <c r="B9" s="248" t="s">
        <v>5</v>
      </c>
      <c r="C9" s="272">
        <v>6960</v>
      </c>
      <c r="D9" s="349" t="s">
        <v>147</v>
      </c>
      <c r="E9" s="349" t="s">
        <v>147</v>
      </c>
      <c r="F9" s="198"/>
      <c r="G9" s="277">
        <v>8042</v>
      </c>
      <c r="H9" s="348" t="s">
        <v>147</v>
      </c>
      <c r="I9" s="348" t="s">
        <v>147</v>
      </c>
      <c r="J9" s="206"/>
      <c r="K9" s="277">
        <v>13588</v>
      </c>
      <c r="L9" s="350" t="s">
        <v>147</v>
      </c>
      <c r="M9" s="350" t="s">
        <v>147</v>
      </c>
      <c r="N9" s="318">
        <f t="shared" si="0"/>
        <v>28590</v>
      </c>
      <c r="O9" s="320">
        <v>20980</v>
      </c>
      <c r="P9" s="320">
        <v>9406</v>
      </c>
      <c r="Q9" s="222"/>
      <c r="R9" s="351" t="s">
        <v>147</v>
      </c>
      <c r="S9" s="2"/>
      <c r="T9" s="352" t="s">
        <v>147</v>
      </c>
      <c r="U9" s="49"/>
      <c r="V9" s="353" t="s">
        <v>147</v>
      </c>
      <c r="W9" s="353" t="s">
        <v>147</v>
      </c>
      <c r="X9" s="353" t="s">
        <v>147</v>
      </c>
      <c r="Y9" s="49"/>
      <c r="Z9" s="354" t="s">
        <v>147</v>
      </c>
      <c r="AA9" s="354" t="s">
        <v>147</v>
      </c>
      <c r="AB9" s="354" t="s">
        <v>147</v>
      </c>
      <c r="AC9" s="342">
        <v>26240</v>
      </c>
      <c r="AD9" s="342">
        <v>1081</v>
      </c>
      <c r="AE9" s="342">
        <v>5383</v>
      </c>
      <c r="AF9" s="49"/>
      <c r="AG9" s="49"/>
      <c r="AH9" s="97"/>
      <c r="AI9" s="96"/>
      <c r="AJ9" s="49"/>
      <c r="AK9" s="49"/>
      <c r="AL9" s="2"/>
      <c r="AM9" s="10"/>
      <c r="AN9" s="19"/>
      <c r="AO9" s="99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53"/>
      <c r="BB9" s="236"/>
      <c r="BC9" s="49"/>
      <c r="BD9" s="49"/>
      <c r="BE9" s="4"/>
      <c r="BF9" s="10"/>
      <c r="BG9" s="52"/>
      <c r="BH9" s="52"/>
      <c r="BI9" s="52"/>
      <c r="BJ9" s="49"/>
      <c r="BK9" s="3">
        <f t="shared" si="1"/>
        <v>54830</v>
      </c>
      <c r="BL9" s="3">
        <f t="shared" si="1"/>
        <v>22061</v>
      </c>
      <c r="BM9" s="3">
        <f t="shared" si="1"/>
        <v>14789</v>
      </c>
      <c r="BN9" s="13">
        <f t="shared" si="2"/>
        <v>-0.32963147636099904</v>
      </c>
    </row>
    <row r="10" spans="2:69" s="9" customFormat="1">
      <c r="B10" s="249" t="s">
        <v>7</v>
      </c>
      <c r="C10" s="187">
        <f>SUM(C6:C9)</f>
        <v>348502</v>
      </c>
      <c r="D10" s="187">
        <f>SUM(D6:D9)</f>
        <v>248840</v>
      </c>
      <c r="E10" s="3">
        <f>SUM(E6:E9)</f>
        <v>276554</v>
      </c>
      <c r="F10" s="50"/>
      <c r="G10" s="3">
        <f>SUM(G6:G9)</f>
        <v>340053</v>
      </c>
      <c r="H10" s="3">
        <f>SUM(H6:H9)</f>
        <v>238622</v>
      </c>
      <c r="I10" s="3">
        <f>SUM(I6:I9)</f>
        <v>281380</v>
      </c>
      <c r="J10" s="206"/>
      <c r="K10" s="3">
        <f>SUM(K6:K9)</f>
        <v>380530</v>
      </c>
      <c r="L10" s="3">
        <f>SUM(L6:L9)</f>
        <v>135196</v>
      </c>
      <c r="M10" s="3">
        <f>SUM(M6:M9)</f>
        <v>290939</v>
      </c>
      <c r="N10" s="321">
        <f>SUM(N6:N9)</f>
        <v>1128244</v>
      </c>
      <c r="O10" s="321">
        <f t="shared" ref="O10:P10" si="3">SUM(O6:O9)</f>
        <v>802498</v>
      </c>
      <c r="P10" s="321">
        <f t="shared" si="3"/>
        <v>1143939</v>
      </c>
      <c r="Q10" s="223">
        <f t="shared" ref="Q10" si="4">(M10-L10)/L10</f>
        <v>1.1519793485014349</v>
      </c>
      <c r="R10" s="3">
        <f>SUM(R6:R9)</f>
        <v>234153</v>
      </c>
      <c r="S10" s="3"/>
      <c r="T10" s="3">
        <f>SUM(T6:T9)</f>
        <v>261633</v>
      </c>
      <c r="U10" s="50"/>
      <c r="V10" s="145">
        <f>SUM(V6:V9)</f>
        <v>226975</v>
      </c>
      <c r="W10" s="145">
        <f>SUM(W6:W9)</f>
        <v>33546</v>
      </c>
      <c r="X10" s="3">
        <f>SUM(X6:X9)</f>
        <v>88045</v>
      </c>
      <c r="Y10" s="223">
        <f>(X10-W10)/W10</f>
        <v>1.624605019972575</v>
      </c>
      <c r="Z10" s="3">
        <f>SUM(Z6:Z9)</f>
        <v>209522</v>
      </c>
      <c r="AA10" s="3">
        <f>SUM(AA6:AA9)</f>
        <v>105617</v>
      </c>
      <c r="AB10" s="3">
        <f>SUM(AB6:AB9)</f>
        <v>231633</v>
      </c>
      <c r="AC10" s="344">
        <f>SUM(AC6:AC9)</f>
        <v>920994</v>
      </c>
      <c r="AD10" s="344">
        <f t="shared" ref="AD10:AE10" si="5">SUM(AD6:AD9)</f>
        <v>185370</v>
      </c>
      <c r="AE10" s="344">
        <f t="shared" si="5"/>
        <v>752072</v>
      </c>
      <c r="AF10" s="50">
        <f t="shared" ref="AF10" si="6">(AB10-AA10)/AA10</f>
        <v>1.1931412556690684</v>
      </c>
      <c r="AG10" s="49"/>
      <c r="AH10" s="3"/>
      <c r="AI10" s="3"/>
      <c r="AJ10" s="49"/>
      <c r="AK10" s="49"/>
      <c r="AL10" s="3"/>
      <c r="AM10" s="3"/>
      <c r="AN10" s="49"/>
      <c r="AO10" s="49"/>
      <c r="AP10" s="227"/>
      <c r="AQ10" s="3"/>
      <c r="AR10" s="145"/>
      <c r="AS10" s="145"/>
      <c r="AT10" s="145"/>
      <c r="AU10" s="49"/>
      <c r="AV10" s="49"/>
      <c r="AW10" s="227"/>
      <c r="AX10" s="3"/>
      <c r="AY10" s="49"/>
      <c r="AZ10" s="49"/>
      <c r="BA10" s="227"/>
      <c r="BB10" s="3"/>
      <c r="BC10" s="49"/>
      <c r="BD10" s="49"/>
      <c r="BE10" s="3"/>
      <c r="BF10" s="3"/>
      <c r="BG10" s="145"/>
      <c r="BH10" s="145"/>
      <c r="BI10" s="145"/>
      <c r="BJ10" s="49"/>
      <c r="BK10" s="3">
        <f t="shared" si="1"/>
        <v>2049238</v>
      </c>
      <c r="BL10" s="3">
        <f t="shared" si="1"/>
        <v>987868</v>
      </c>
      <c r="BM10" s="3">
        <f t="shared" si="1"/>
        <v>1896011</v>
      </c>
      <c r="BN10" s="14">
        <f t="shared" si="2"/>
        <v>0.91929589783250398</v>
      </c>
      <c r="BP10" s="21"/>
      <c r="BQ10" s="20"/>
    </row>
    <row r="11" spans="2:69">
      <c r="B11" s="316" t="s">
        <v>144</v>
      </c>
    </row>
    <row r="12" spans="2:69">
      <c r="B12" s="316" t="s">
        <v>149</v>
      </c>
    </row>
    <row r="13" spans="2:69">
      <c r="B13" s="316" t="s">
        <v>150</v>
      </c>
      <c r="C13" s="316"/>
      <c r="D13" s="316"/>
      <c r="E13" s="316"/>
      <c r="F13" s="316"/>
      <c r="G13" s="316"/>
      <c r="H13" s="316"/>
      <c r="I13" s="316"/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L13" s="142"/>
      <c r="BM13" s="142"/>
    </row>
    <row r="14" spans="2:69">
      <c r="B14" s="316" t="s">
        <v>151</v>
      </c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Q14" s="142"/>
      <c r="BC14" s="142"/>
    </row>
    <row r="15" spans="2:69">
      <c r="B15" s="316" t="s">
        <v>152</v>
      </c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Y15" s="316"/>
      <c r="Z15" s="316"/>
      <c r="AA15" s="316"/>
      <c r="AB15" s="316"/>
      <c r="AC15" s="316"/>
      <c r="AD15" s="316"/>
      <c r="AE15" s="316"/>
      <c r="AF15" s="316"/>
      <c r="AG15" s="316"/>
      <c r="AJ15" s="23"/>
      <c r="AK15" s="142"/>
      <c r="AL15" s="23"/>
      <c r="AM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Z16" s="316"/>
      <c r="AA16" s="316"/>
      <c r="AB16" s="316"/>
      <c r="AC16" s="316"/>
      <c r="AD16" s="316"/>
      <c r="AE16" s="316"/>
      <c r="AF16" s="316"/>
      <c r="AG16" s="316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2:56">
      <c r="B17" s="21" t="s">
        <v>26</v>
      </c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296"/>
      <c r="Z17" s="316"/>
      <c r="AA17" s="316"/>
      <c r="AB17" s="316"/>
      <c r="AC17" s="316"/>
      <c r="AD17" s="316"/>
      <c r="AE17" s="316"/>
      <c r="AF17" s="316"/>
      <c r="AG17" s="316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2:56"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2:56">
      <c r="B19" s="316" t="s">
        <v>153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2:56">
      <c r="B20" s="316" t="s">
        <v>148</v>
      </c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  <c r="AG20" s="316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2:56"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</row>
    <row r="22" spans="2:56">
      <c r="B22" s="316"/>
      <c r="C22" s="316"/>
      <c r="D22" s="316"/>
      <c r="E22" s="316"/>
      <c r="F22" s="316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</row>
    <row r="23" spans="2:56">
      <c r="B23" s="316"/>
      <c r="C23" s="316"/>
      <c r="D23" s="316"/>
      <c r="E23" s="316"/>
      <c r="F23" s="316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  <c r="AG23" s="316"/>
    </row>
    <row r="24" spans="2:56">
      <c r="B24" s="316"/>
      <c r="C24" s="316"/>
      <c r="D24" s="316"/>
      <c r="E24" s="316"/>
      <c r="F24" s="316"/>
      <c r="G24" s="316"/>
      <c r="H24" s="316"/>
      <c r="I24" s="316"/>
      <c r="J24" s="31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  <c r="AG24" s="316"/>
    </row>
    <row r="25" spans="2:56">
      <c r="B25" s="316"/>
      <c r="C25" s="316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</row>
    <row r="26" spans="2:56"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  <c r="AG26" s="316"/>
    </row>
    <row r="27" spans="2:56"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  <c r="AG27" s="316"/>
    </row>
  </sheetData>
  <mergeCells count="18">
    <mergeCell ref="AR4:AT4"/>
    <mergeCell ref="AV4:AX4"/>
    <mergeCell ref="AZ4:BB4"/>
    <mergeCell ref="BD4:BF4"/>
    <mergeCell ref="BN4:BN5"/>
    <mergeCell ref="BG4:BI4"/>
    <mergeCell ref="BK4:BM4"/>
    <mergeCell ref="C4:E4"/>
    <mergeCell ref="G4:I4"/>
    <mergeCell ref="K4:M4"/>
    <mergeCell ref="N4:P4"/>
    <mergeCell ref="R4:T4"/>
    <mergeCell ref="AO4:AQ4"/>
    <mergeCell ref="V4:X4"/>
    <mergeCell ref="Z4:AB4"/>
    <mergeCell ref="AC4:AE4"/>
    <mergeCell ref="AG4:AI4"/>
    <mergeCell ref="AK4:AM4"/>
  </mergeCells>
  <pageMargins left="0.7" right="0.7" top="0.78740157499999996" bottom="0.78740157499999996" header="0.3" footer="0.3"/>
  <pageSetup paperSize="9" orientation="portrait" r:id="rId1"/>
  <ignoredErrors>
    <ignoredError sqref="C10:E10 G10:I10 K10:M10 O10:P10 T10 Z10:AE10 X10 V10:W10 R10" formulaRange="1"/>
    <ignoredError sqref="Y10 Q1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B64A-A7C9-4585-A415-0981F1961923}">
  <dimension ref="A1:BQ19"/>
  <sheetViews>
    <sheetView topLeftCell="B1" zoomScaleNormal="100" workbookViewId="0">
      <pane xSplit="1" topLeftCell="AW1" activePane="topRight" state="frozen"/>
      <selection activeCell="G14" sqref="G14"/>
      <selection pane="topRight" activeCell="BK7" sqref="BK7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9.2851562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8.57031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28515625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9.570312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10.1406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59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3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63">
        <f>VLOOKUP(B6,[1]Indonesia!$B$4:$D$7,2,FALSE)</f>
        <v>57089</v>
      </c>
      <c r="D6" s="191">
        <v>61217</v>
      </c>
      <c r="E6" s="31">
        <v>37801</v>
      </c>
      <c r="F6" s="198">
        <f>(E6-D6)/D6</f>
        <v>-0.38250812682751523</v>
      </c>
      <c r="G6" s="53">
        <v>62292</v>
      </c>
      <c r="H6" s="53">
        <v>60499</v>
      </c>
      <c r="I6" s="31">
        <v>33348</v>
      </c>
      <c r="J6" s="206">
        <f>(I6-H6)/H6</f>
        <v>-0.44878427742607319</v>
      </c>
      <c r="K6" s="53">
        <v>72929</v>
      </c>
      <c r="L6" s="53">
        <v>61922</v>
      </c>
      <c r="M6" s="216">
        <v>64351</v>
      </c>
      <c r="N6" s="53">
        <f>SUM(C6,G6,K6)</f>
        <v>192310</v>
      </c>
      <c r="O6" s="53">
        <f>SUM(D6,H6,L6)</f>
        <v>183638</v>
      </c>
      <c r="P6" s="53">
        <f>SUM(E6,I6,M6)</f>
        <v>135500</v>
      </c>
      <c r="Q6" s="222">
        <f>(M6-L6)/L6</f>
        <v>3.9226769161202803E-2</v>
      </c>
      <c r="R6" s="53">
        <v>68009</v>
      </c>
      <c r="S6" s="53">
        <v>5885</v>
      </c>
      <c r="T6" s="31">
        <v>58808</v>
      </c>
      <c r="U6" s="49">
        <f>(T6-S6)/S6</f>
        <v>8.9928632115548002</v>
      </c>
      <c r="V6" s="53">
        <v>67231</v>
      </c>
      <c r="W6" s="53">
        <v>2165</v>
      </c>
      <c r="X6" s="31">
        <v>42576</v>
      </c>
      <c r="Y6" s="49">
        <f>(X6-W6)/W6</f>
        <v>18.665588914549655</v>
      </c>
      <c r="Z6" s="53">
        <v>43743</v>
      </c>
      <c r="AA6" s="53">
        <v>7452</v>
      </c>
      <c r="AB6" s="31">
        <v>54306</v>
      </c>
      <c r="AC6" s="53">
        <f>SUM(R6,V6,Z6)</f>
        <v>178983</v>
      </c>
      <c r="AD6" s="53">
        <f t="shared" ref="AD6:AE8" si="0">SUM(S6,W6,AA6)</f>
        <v>15502</v>
      </c>
      <c r="AE6" s="53">
        <f t="shared" si="0"/>
        <v>155690</v>
      </c>
      <c r="AF6" s="49">
        <f>(AB6-AA6)/AA6</f>
        <v>6.28743961352657</v>
      </c>
      <c r="AG6" s="49"/>
      <c r="AH6" s="53"/>
      <c r="AI6" s="53"/>
      <c r="AJ6" s="76"/>
      <c r="AK6" s="76"/>
      <c r="AL6" s="53"/>
      <c r="AM6" s="53"/>
      <c r="AN6" s="76"/>
      <c r="AO6" s="76"/>
      <c r="AP6" s="31"/>
      <c r="AQ6" s="53"/>
      <c r="AR6" s="53"/>
      <c r="AS6" s="53"/>
      <c r="AT6" s="53"/>
      <c r="AU6" s="76"/>
      <c r="AV6" s="76"/>
      <c r="AW6" s="55"/>
      <c r="AX6" s="55"/>
      <c r="AY6" s="76"/>
      <c r="AZ6" s="76"/>
      <c r="BA6" s="31"/>
      <c r="BB6" s="53"/>
      <c r="BC6" s="76"/>
      <c r="BD6" s="76"/>
      <c r="BE6" s="35"/>
      <c r="BF6" s="55"/>
      <c r="BG6" s="55"/>
      <c r="BH6" s="55"/>
      <c r="BI6" s="55"/>
      <c r="BJ6" s="76"/>
      <c r="BK6" s="145">
        <f>SUM(C6,G6,K6,R6,V6,Z6,AG6,AK6,AO6,AV6,AZ6,BD6)</f>
        <v>371293</v>
      </c>
      <c r="BL6" s="54">
        <f>SUM(D6,H6,L6,S6,W6,AA6,AH6,AL6,AP6,AW6,BA6,BE6)</f>
        <v>199140</v>
      </c>
      <c r="BM6" s="145">
        <f>SUM(E6,I6,M6,T6,X6,AB6,AI6,AM6,AQ6,AX6,BB6,BF6)</f>
        <v>291190</v>
      </c>
      <c r="BN6" s="32">
        <f>(BM6-BL6)/BL6</f>
        <v>0.46223762177362659</v>
      </c>
    </row>
    <row r="7" spans="2:69" ht="45">
      <c r="B7" s="250" t="s">
        <v>76</v>
      </c>
      <c r="C7" s="265">
        <f>VLOOKUP(B7,[1]Indonesia!$B$4:$D$7,2,FALSE)</f>
        <v>25066</v>
      </c>
      <c r="D7" s="259">
        <v>19218</v>
      </c>
      <c r="E7" s="55">
        <v>15108</v>
      </c>
      <c r="F7" s="202">
        <f>(E7-D7)/D7</f>
        <v>-0.21386200437090228</v>
      </c>
      <c r="G7" s="55">
        <v>19517</v>
      </c>
      <c r="H7" s="55">
        <v>19146</v>
      </c>
      <c r="I7" s="55">
        <v>15854</v>
      </c>
      <c r="J7" s="209">
        <f t="shared" ref="J7:J8" si="1">(I7-H7)/H7</f>
        <v>-0.17194191998328634</v>
      </c>
      <c r="K7" s="55">
        <v>17439</v>
      </c>
      <c r="L7" s="55">
        <v>14889</v>
      </c>
      <c r="M7" s="217">
        <v>20564</v>
      </c>
      <c r="N7" s="55">
        <f t="shared" ref="N7:N8" si="2">SUM(C7,G7,K7)</f>
        <v>62022</v>
      </c>
      <c r="O7" s="55">
        <f t="shared" ref="O7:O8" si="3">SUM(D7,H7,L7)</f>
        <v>53253</v>
      </c>
      <c r="P7" s="55">
        <f t="shared" ref="P7:P8" si="4">SUM(E7,I7,M7)</f>
        <v>51526</v>
      </c>
      <c r="Q7" s="226">
        <f t="shared" ref="Q7:Q8" si="5">(M7-L7)/L7</f>
        <v>0.38115387198602996</v>
      </c>
      <c r="R7" s="55">
        <v>16047</v>
      </c>
      <c r="S7" s="55">
        <v>1983</v>
      </c>
      <c r="T7" s="55">
        <v>20100</v>
      </c>
      <c r="U7" s="94">
        <f t="shared" ref="U7:U8" si="6">(T7-S7)/S7</f>
        <v>9.1361573373676244</v>
      </c>
      <c r="V7" s="55">
        <v>16878</v>
      </c>
      <c r="W7" s="55">
        <v>1386</v>
      </c>
      <c r="X7" s="55">
        <v>12239</v>
      </c>
      <c r="Y7" s="49">
        <f t="shared" ref="Y7:Y8" si="7">(X7-W7)/W7</f>
        <v>7.8304473304473303</v>
      </c>
      <c r="Z7" s="55">
        <v>15857</v>
      </c>
      <c r="AA7" s="55">
        <v>5171</v>
      </c>
      <c r="AB7" s="55">
        <v>18414</v>
      </c>
      <c r="AC7" s="55">
        <f t="shared" ref="AC7:AC8" si="8">SUM(R7,V7,Z7)</f>
        <v>48782</v>
      </c>
      <c r="AD7" s="55">
        <f t="shared" si="0"/>
        <v>8540</v>
      </c>
      <c r="AE7" s="55">
        <f t="shared" si="0"/>
        <v>50753</v>
      </c>
      <c r="AF7" s="94">
        <f t="shared" ref="AF7:AF8" si="9">(AB7-AA7)/AA7</f>
        <v>2.5610133436472635</v>
      </c>
      <c r="AG7" s="94"/>
      <c r="AH7" s="55"/>
      <c r="AI7" s="55"/>
      <c r="AJ7" s="113"/>
      <c r="AK7" s="113"/>
      <c r="AL7" s="55"/>
      <c r="AM7" s="55"/>
      <c r="AN7" s="113"/>
      <c r="AO7" s="113"/>
      <c r="AP7" s="114"/>
      <c r="AQ7" s="55"/>
      <c r="AR7" s="55"/>
      <c r="AS7" s="55"/>
      <c r="AT7" s="55"/>
      <c r="AU7" s="113"/>
      <c r="AV7" s="113"/>
      <c r="AW7" s="114"/>
      <c r="AX7" s="55"/>
      <c r="AY7" s="113"/>
      <c r="AZ7" s="113"/>
      <c r="BA7" s="114"/>
      <c r="BB7" s="55"/>
      <c r="BC7" s="113"/>
      <c r="BD7" s="113"/>
      <c r="BE7" s="35"/>
      <c r="BF7" s="55"/>
      <c r="BG7" s="55"/>
      <c r="BH7" s="55"/>
      <c r="BI7" s="55"/>
      <c r="BJ7" s="113"/>
      <c r="BK7" s="329">
        <f t="shared" ref="BK7:BK8" si="10">SUM(C7,G7,K7,R7,V7,Z7,AG7,AK7,AO7,AV7,AZ7,BD7)</f>
        <v>110804</v>
      </c>
      <c r="BL7" s="329">
        <f t="shared" ref="BL7:BL8" si="11">SUM(D7,H7,L7,S7,W7,AA7,AH7,AL7,AP7,AW7,BA7,BE7)</f>
        <v>61793</v>
      </c>
      <c r="BM7" s="329">
        <f t="shared" ref="BM7:BM8" si="12">SUM(E7,I7,M7,T7,X7,AB7,AI7,AM7,AQ7,AX7,BB7,BF7)</f>
        <v>102279</v>
      </c>
      <c r="BN7" s="95">
        <f>(BM7-BL7)/BL7</f>
        <v>0.65518748078261291</v>
      </c>
    </row>
    <row r="8" spans="2:69" s="9" customFormat="1">
      <c r="B8" s="249" t="s">
        <v>7</v>
      </c>
      <c r="C8" s="192">
        <f>SUM(C6:C7)</f>
        <v>82155</v>
      </c>
      <c r="D8" s="192">
        <f>SUM(D6:D7)</f>
        <v>80435</v>
      </c>
      <c r="E8" s="15">
        <f>SUM(E6:E7)</f>
        <v>52909</v>
      </c>
      <c r="F8" s="199">
        <f>(E8-D8)/D8</f>
        <v>-0.34221421023186421</v>
      </c>
      <c r="G8" s="289">
        <f>SUM(G6:G7)</f>
        <v>81809</v>
      </c>
      <c r="H8" s="289">
        <f>SUM(H6:H7)</f>
        <v>79645</v>
      </c>
      <c r="I8" s="215">
        <f>SUM(I6:I7)</f>
        <v>49202</v>
      </c>
      <c r="J8" s="207">
        <f t="shared" si="1"/>
        <v>-0.38223366187456842</v>
      </c>
      <c r="K8" s="289">
        <f>SUM(K6:K7)</f>
        <v>90368</v>
      </c>
      <c r="L8" s="289">
        <f>SUM(L6:L7)</f>
        <v>76811</v>
      </c>
      <c r="M8" s="215">
        <f>SUM(M6:M7)</f>
        <v>84915</v>
      </c>
      <c r="N8" s="145">
        <f t="shared" si="2"/>
        <v>254332</v>
      </c>
      <c r="O8" s="145">
        <f t="shared" si="3"/>
        <v>236891</v>
      </c>
      <c r="P8" s="145">
        <f t="shared" si="4"/>
        <v>187026</v>
      </c>
      <c r="Q8" s="223">
        <f t="shared" si="5"/>
        <v>0.1055057218367161</v>
      </c>
      <c r="R8" s="145">
        <f>SUM(R6:R7)</f>
        <v>84056</v>
      </c>
      <c r="S8" s="145">
        <f t="shared" ref="S8:T8" si="13">SUM(S6:S7)</f>
        <v>7868</v>
      </c>
      <c r="T8" s="145">
        <f t="shared" si="13"/>
        <v>78908</v>
      </c>
      <c r="U8" s="49">
        <f t="shared" si="6"/>
        <v>9.0289781392984239</v>
      </c>
      <c r="V8" s="145">
        <f>SUM(V6:V7)</f>
        <v>84109</v>
      </c>
      <c r="W8" s="145">
        <f>SUM(W6:W7)</f>
        <v>3551</v>
      </c>
      <c r="X8" s="15">
        <f>SUM(X6:X7)</f>
        <v>54815</v>
      </c>
      <c r="Y8" s="49">
        <f t="shared" si="7"/>
        <v>14.43649676147564</v>
      </c>
      <c r="Z8" s="145">
        <f>SUM(Z6:Z7)</f>
        <v>59600</v>
      </c>
      <c r="AA8" s="145">
        <f>SUM(AA6:AA7)</f>
        <v>12623</v>
      </c>
      <c r="AB8" s="145">
        <f>SUM(AB6:AB7)</f>
        <v>72720</v>
      </c>
      <c r="AC8" s="145">
        <f t="shared" si="8"/>
        <v>227765</v>
      </c>
      <c r="AD8" s="145">
        <f t="shared" si="0"/>
        <v>24042</v>
      </c>
      <c r="AE8" s="145">
        <f t="shared" si="0"/>
        <v>206443</v>
      </c>
      <c r="AF8" s="50">
        <f t="shared" si="9"/>
        <v>4.7609126198209619</v>
      </c>
      <c r="AG8" s="50"/>
      <c r="AH8" s="15"/>
      <c r="AI8" s="15"/>
      <c r="AJ8" s="76"/>
      <c r="AK8" s="76"/>
      <c r="AL8" s="15"/>
      <c r="AM8" s="15"/>
      <c r="AN8" s="76"/>
      <c r="AO8" s="76"/>
      <c r="AP8" s="15"/>
      <c r="AQ8" s="15"/>
      <c r="AR8" s="145"/>
      <c r="AS8" s="145"/>
      <c r="AT8" s="145"/>
      <c r="AU8" s="76"/>
      <c r="AV8" s="76"/>
      <c r="AW8" s="145"/>
      <c r="AX8" s="145"/>
      <c r="AY8" s="76"/>
      <c r="AZ8" s="76"/>
      <c r="BA8" s="145"/>
      <c r="BB8" s="145"/>
      <c r="BC8" s="76"/>
      <c r="BD8" s="76"/>
      <c r="BE8" s="15"/>
      <c r="BF8" s="15"/>
      <c r="BG8" s="145"/>
      <c r="BH8" s="145"/>
      <c r="BI8" s="145"/>
      <c r="BJ8" s="76"/>
      <c r="BK8" s="145">
        <f t="shared" si="10"/>
        <v>482097</v>
      </c>
      <c r="BL8" s="145">
        <f t="shared" si="11"/>
        <v>260933</v>
      </c>
      <c r="BM8" s="145">
        <f t="shared" si="12"/>
        <v>393469</v>
      </c>
      <c r="BN8" s="30">
        <f>(BM8-BL8)/BL8</f>
        <v>0.50793115474087214</v>
      </c>
      <c r="BP8" s="21"/>
      <c r="BQ8" s="20"/>
    </row>
    <row r="9" spans="2:69">
      <c r="C9" s="45"/>
      <c r="G9" s="45"/>
      <c r="K9" s="45"/>
      <c r="M9" s="45"/>
      <c r="N9" s="44"/>
      <c r="O9" s="44"/>
      <c r="P9" s="44"/>
      <c r="Q9" s="45"/>
      <c r="AP9" s="142"/>
      <c r="AQ9" s="142"/>
      <c r="AV9" s="45"/>
      <c r="AW9" s="45"/>
      <c r="AX9" s="45"/>
      <c r="AY9" s="45"/>
      <c r="AZ9" s="45"/>
      <c r="BA9" s="45"/>
      <c r="BB9" s="45"/>
      <c r="BJ9" s="316"/>
      <c r="BL9" s="316"/>
      <c r="BM9" s="316"/>
    </row>
    <row r="10" spans="2:69">
      <c r="B10" s="43" t="s">
        <v>22</v>
      </c>
      <c r="C10" s="264"/>
      <c r="D10" s="48" t="s">
        <v>74</v>
      </c>
      <c r="M10" s="45"/>
      <c r="N10" s="44"/>
      <c r="O10" s="44"/>
      <c r="P10" s="44"/>
      <c r="Q10" s="45"/>
      <c r="AP10" s="142"/>
      <c r="AQ10" s="142"/>
      <c r="AV10" s="45"/>
      <c r="AW10" s="45"/>
      <c r="AX10" s="45"/>
      <c r="AY10" s="45"/>
      <c r="AZ10" s="45"/>
      <c r="BA10" s="45"/>
      <c r="BB10" s="45"/>
      <c r="BJ10" s="316"/>
      <c r="BL10" s="316"/>
      <c r="BM10" s="316"/>
    </row>
    <row r="11" spans="2:69">
      <c r="AJ11" s="22"/>
      <c r="AK11" s="63"/>
      <c r="AL11" s="22"/>
      <c r="AM11" s="22"/>
      <c r="AN11" s="22"/>
      <c r="AO11" s="63"/>
      <c r="AP11" s="22"/>
      <c r="AQ11" s="22"/>
      <c r="AR11" s="63"/>
      <c r="AS11" s="63"/>
      <c r="AT11" s="63"/>
      <c r="AU11" s="22"/>
      <c r="AV11" s="63"/>
      <c r="AW11" s="22"/>
      <c r="AX11" s="22"/>
      <c r="AY11" s="22"/>
      <c r="AZ11" s="63"/>
      <c r="BA11" s="22"/>
      <c r="BB11" s="22"/>
      <c r="BC11" s="22"/>
      <c r="BD11" s="63"/>
      <c r="BL11" s="142"/>
    </row>
    <row r="12" spans="2:69">
      <c r="E12" s="22"/>
      <c r="F12" s="22"/>
      <c r="G12" s="63"/>
      <c r="H12" s="22"/>
      <c r="I12" s="52"/>
    </row>
    <row r="13" spans="2:69">
      <c r="AJ13" s="23"/>
      <c r="AK13" s="142"/>
      <c r="AL13" s="23"/>
      <c r="AM13" s="23"/>
      <c r="AN13" s="23"/>
      <c r="AO13" s="142"/>
      <c r="AP13" s="23"/>
      <c r="AQ13" s="23"/>
      <c r="AR13" s="142"/>
      <c r="AS13" s="142"/>
      <c r="AT13" s="142"/>
      <c r="AU13" s="23"/>
      <c r="AV13" s="142"/>
      <c r="AW13" s="23"/>
      <c r="AX13" s="23"/>
      <c r="AY13" s="23"/>
      <c r="AZ13" s="142"/>
      <c r="BA13" s="23"/>
      <c r="BB13" s="23"/>
      <c r="BC13" s="23"/>
      <c r="BD13" s="142"/>
      <c r="BM13" s="142"/>
    </row>
    <row r="14" spans="2:69">
      <c r="D14" s="23"/>
      <c r="E14" s="23"/>
      <c r="F14" s="23"/>
      <c r="G14" s="142"/>
      <c r="H14" s="23"/>
      <c r="I14" s="23"/>
      <c r="AJ14" s="23"/>
      <c r="AK14" s="142"/>
      <c r="AL14" s="23"/>
      <c r="AM14" s="23"/>
      <c r="AN14" s="23"/>
      <c r="AO14" s="142"/>
      <c r="AP14" s="23"/>
      <c r="AQ14" s="23"/>
      <c r="AR14" s="142"/>
      <c r="AS14" s="142"/>
      <c r="AT14" s="142"/>
      <c r="AU14" s="23"/>
      <c r="AV14" s="142"/>
      <c r="AW14" s="23"/>
      <c r="AX14" s="23"/>
      <c r="AY14" s="23"/>
      <c r="AZ14" s="142"/>
      <c r="BA14" s="23"/>
      <c r="BB14" s="23"/>
      <c r="BC14" s="23"/>
      <c r="BD14" s="142"/>
    </row>
    <row r="15" spans="2:69">
      <c r="D15" s="23"/>
      <c r="E15" s="23"/>
      <c r="F15" s="23"/>
      <c r="G15" s="142"/>
      <c r="H15" s="23"/>
      <c r="I15" s="23"/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0" r:id="rId1" xr:uid="{B0504FD6-C519-4F7A-8B05-5437053E4791}"/>
  </hyperlinks>
  <pageMargins left="0.7" right="0.7" top="0.78740157499999996" bottom="0.78740157499999996" header="0.3" footer="0.3"/>
  <pageSetup paperSize="9" orientation="portrait" r:id="rId2"/>
  <ignoredErrors>
    <ignoredError sqref="BN7" evalError="1"/>
    <ignoredError sqref="D8:E8 L8:M8 H8:I8 G8 K8 R8:T8 V8:X8 Z8:AB8" formulaRange="1"/>
    <ignoredError sqref="F8 J8 U8 Y8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1D0C-50F1-4D18-A56B-60CB9D9E29C4}">
  <dimension ref="A1:BQ25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19.28515625" style="51" customWidth="1"/>
    <col min="3" max="3" width="8.28515625" style="51" customWidth="1"/>
    <col min="4" max="4" width="8.7109375" style="51" customWidth="1"/>
    <col min="5" max="5" width="9" style="51" customWidth="1"/>
    <col min="6" max="6" width="11.5703125" style="51" customWidth="1"/>
    <col min="7" max="7" width="10" style="51" customWidth="1"/>
    <col min="8" max="8" width="9.140625" style="51" customWidth="1"/>
    <col min="9" max="9" width="8.85546875" style="51" customWidth="1"/>
    <col min="10" max="10" width="10.85546875" style="51" customWidth="1"/>
    <col min="11" max="11" width="8.710937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7" width="10" style="51" customWidth="1"/>
    <col min="18" max="18" width="8.5703125" style="51" customWidth="1"/>
    <col min="19" max="19" width="10" style="51" customWidth="1"/>
    <col min="20" max="20" width="9.7109375" style="51" customWidth="1"/>
    <col min="21" max="21" width="11.140625" style="51" customWidth="1"/>
    <col min="22" max="22" width="9.42578125" style="51" customWidth="1"/>
    <col min="23" max="23" width="8.85546875" style="51" customWidth="1"/>
    <col min="24" max="24" width="10.42578125" style="51" customWidth="1"/>
    <col min="25" max="25" width="10.140625" style="51" bestFit="1" customWidth="1"/>
    <col min="26" max="26" width="9.5703125" style="51" customWidth="1"/>
    <col min="27" max="27" width="10.42578125" style="51" customWidth="1"/>
    <col min="28" max="31" width="11.42578125" style="51" customWidth="1"/>
    <col min="32" max="32" width="11.42578125" style="51"/>
    <col min="33" max="33" width="8.5703125" style="51" customWidth="1"/>
    <col min="34" max="34" width="9.28515625" style="51" customWidth="1"/>
    <col min="35" max="35" width="9.7109375" style="51" customWidth="1"/>
    <col min="36" max="36" width="11.42578125" style="5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/>
    <col min="41" max="41" width="9" style="51" customWidth="1"/>
    <col min="42" max="51" width="11.42578125" style="51"/>
    <col min="52" max="52" width="9.7109375" style="51" customWidth="1"/>
    <col min="53" max="62" width="11.42578125" style="51"/>
    <col min="63" max="63" width="11.42578125" style="316"/>
    <col min="64" max="16384" width="11.42578125" style="51"/>
  </cols>
  <sheetData>
    <row r="1" spans="2:69">
      <c r="B1" s="57" t="s">
        <v>100</v>
      </c>
      <c r="C1" s="57"/>
    </row>
    <row r="2" spans="2:69">
      <c r="B2" s="68"/>
      <c r="C2" s="68"/>
      <c r="AB2" s="142"/>
      <c r="AC2" s="142"/>
      <c r="AD2" s="142"/>
      <c r="AE2" s="142"/>
    </row>
    <row r="4" spans="2:69" ht="45" customHeight="1">
      <c r="B4" s="141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35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35" t="s">
        <v>29</v>
      </c>
      <c r="AG4" s="365" t="s">
        <v>2</v>
      </c>
      <c r="AH4" s="366"/>
      <c r="AI4" s="367"/>
      <c r="AJ4" s="135" t="s">
        <v>29</v>
      </c>
      <c r="AK4" s="365" t="s">
        <v>12</v>
      </c>
      <c r="AL4" s="366"/>
      <c r="AM4" s="367"/>
      <c r="AN4" s="135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35" t="s">
        <v>29</v>
      </c>
      <c r="AV4" s="365" t="s">
        <v>14</v>
      </c>
      <c r="AW4" s="366"/>
      <c r="AX4" s="367"/>
      <c r="AY4" s="183" t="s">
        <v>29</v>
      </c>
      <c r="AZ4" s="365" t="s">
        <v>15</v>
      </c>
      <c r="BA4" s="366"/>
      <c r="BB4" s="367"/>
      <c r="BC4" s="135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3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3">
        <v>2020</v>
      </c>
      <c r="E5" s="12">
        <v>2021</v>
      </c>
      <c r="F5" s="135" t="s">
        <v>130</v>
      </c>
      <c r="G5" s="16">
        <v>2019</v>
      </c>
      <c r="H5" s="12">
        <v>2020</v>
      </c>
      <c r="I5" s="12">
        <v>2021</v>
      </c>
      <c r="J5" s="135" t="s">
        <v>130</v>
      </c>
      <c r="K5" s="16">
        <v>2019</v>
      </c>
      <c r="L5" s="12">
        <v>2020</v>
      </c>
      <c r="M5" s="12">
        <v>2021</v>
      </c>
      <c r="N5" s="58">
        <v>2019</v>
      </c>
      <c r="O5" s="58">
        <v>2020</v>
      </c>
      <c r="P5" s="58">
        <v>2021</v>
      </c>
      <c r="Q5" s="134" t="s">
        <v>130</v>
      </c>
      <c r="R5" s="16">
        <v>2019</v>
      </c>
      <c r="S5" s="12">
        <v>2020</v>
      </c>
      <c r="T5" s="12">
        <v>2021</v>
      </c>
      <c r="U5" s="135" t="s">
        <v>130</v>
      </c>
      <c r="V5" s="16">
        <v>2019</v>
      </c>
      <c r="W5" s="12">
        <v>2020</v>
      </c>
      <c r="X5" s="12">
        <v>2021</v>
      </c>
      <c r="Y5" s="135" t="s">
        <v>130</v>
      </c>
      <c r="Z5" s="16">
        <v>2019</v>
      </c>
      <c r="AA5" s="12">
        <v>2020</v>
      </c>
      <c r="AB5" s="12">
        <v>2021</v>
      </c>
      <c r="AC5" s="16">
        <v>2019</v>
      </c>
      <c r="AD5" s="12">
        <v>2020</v>
      </c>
      <c r="AE5" s="12">
        <v>2021</v>
      </c>
      <c r="AF5" s="135" t="s">
        <v>130</v>
      </c>
      <c r="AG5" s="16">
        <v>2019</v>
      </c>
      <c r="AH5" s="12">
        <v>2020</v>
      </c>
      <c r="AI5" s="12">
        <v>2021</v>
      </c>
      <c r="AJ5" s="135" t="s">
        <v>130</v>
      </c>
      <c r="AK5" s="16">
        <v>2019</v>
      </c>
      <c r="AL5" s="12">
        <v>2020</v>
      </c>
      <c r="AM5" s="12">
        <v>2021</v>
      </c>
      <c r="AN5" s="135" t="s">
        <v>130</v>
      </c>
      <c r="AO5" s="16">
        <v>2019</v>
      </c>
      <c r="AP5" s="12">
        <v>2020</v>
      </c>
      <c r="AQ5" s="12">
        <v>2021</v>
      </c>
      <c r="AR5" s="58">
        <v>2019</v>
      </c>
      <c r="AS5" s="58">
        <v>2020</v>
      </c>
      <c r="AT5" s="58">
        <v>2021</v>
      </c>
      <c r="AU5" s="135" t="s">
        <v>130</v>
      </c>
      <c r="AV5" s="16">
        <v>2019</v>
      </c>
      <c r="AW5" s="12">
        <v>2020</v>
      </c>
      <c r="AX5" s="12">
        <v>2021</v>
      </c>
      <c r="AY5" s="135" t="s">
        <v>130</v>
      </c>
      <c r="AZ5" s="16">
        <v>2019</v>
      </c>
      <c r="BA5" s="12">
        <v>2020</v>
      </c>
      <c r="BB5" s="12">
        <v>2021</v>
      </c>
      <c r="BC5" s="135" t="s">
        <v>130</v>
      </c>
      <c r="BD5" s="16">
        <v>2019</v>
      </c>
      <c r="BE5" s="12">
        <v>2020</v>
      </c>
      <c r="BF5" s="12">
        <v>2021</v>
      </c>
      <c r="BG5" s="58">
        <v>2019</v>
      </c>
      <c r="BH5" s="58">
        <v>2020</v>
      </c>
      <c r="BI5" s="58">
        <v>2021</v>
      </c>
      <c r="BJ5" s="135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63">
        <f>VLOOKUP(B6,[1]Israel!$B$4:$D$9,2,FALSE)</f>
        <v>36512</v>
      </c>
      <c r="D6" s="191">
        <v>39849</v>
      </c>
      <c r="E6" s="143">
        <v>48242</v>
      </c>
      <c r="F6" s="198">
        <f>(E6-D6)/D6</f>
        <v>0.21062009084293207</v>
      </c>
      <c r="G6" s="266">
        <v>19870</v>
      </c>
      <c r="H6" s="280">
        <v>14963</v>
      </c>
      <c r="I6" s="143">
        <v>25505</v>
      </c>
      <c r="J6" s="206">
        <f>(I6-H6)/H6</f>
        <v>0.70453786005480179</v>
      </c>
      <c r="K6" s="280">
        <v>30781</v>
      </c>
      <c r="L6" s="53">
        <f>80659-H6-D6</f>
        <v>25847</v>
      </c>
      <c r="M6" s="216">
        <v>21108</v>
      </c>
      <c r="N6" s="53">
        <f>SUM(C6,G6,K6)</f>
        <v>87163</v>
      </c>
      <c r="O6" s="53">
        <f>SUM(D6,H6,L6)</f>
        <v>80659</v>
      </c>
      <c r="P6" s="53">
        <f>SUM(E6,I6,M6)</f>
        <v>94855</v>
      </c>
      <c r="Q6" s="222">
        <f>(M6-L6)/L6</f>
        <v>-0.18334816419700545</v>
      </c>
      <c r="R6" s="143">
        <v>21607</v>
      </c>
      <c r="S6" s="143">
        <v>2258</v>
      </c>
      <c r="T6" s="143">
        <v>24832</v>
      </c>
      <c r="U6" s="164">
        <f>(T6-S6)/S6</f>
        <v>9.9973427812223203</v>
      </c>
      <c r="V6" s="143">
        <v>20223</v>
      </c>
      <c r="W6" s="143">
        <v>9677</v>
      </c>
      <c r="X6" s="143">
        <v>26800</v>
      </c>
      <c r="Y6" s="164">
        <f>(X6-W6)/W6</f>
        <v>1.7694533429781958</v>
      </c>
      <c r="Z6" s="143">
        <v>20489</v>
      </c>
      <c r="AA6" s="143">
        <v>20121</v>
      </c>
      <c r="AB6" s="84">
        <v>31722</v>
      </c>
      <c r="AC6" s="53">
        <f>SUM(R6,V6,Z6)</f>
        <v>62319</v>
      </c>
      <c r="AD6" s="53">
        <f>SUM(S6,W6,AA6)</f>
        <v>32056</v>
      </c>
      <c r="AE6" s="53">
        <f>SUM(T6,X6,AB6)</f>
        <v>83354</v>
      </c>
      <c r="AF6" s="164">
        <f>(AB6-AA6)/AA6</f>
        <v>0.57656180110332489</v>
      </c>
      <c r="AG6" s="49"/>
      <c r="AH6" s="143"/>
      <c r="AI6" s="143"/>
      <c r="AJ6" s="164"/>
      <c r="AK6" s="49"/>
      <c r="AL6" s="143"/>
      <c r="AM6" s="143"/>
      <c r="AN6" s="164"/>
      <c r="AO6" s="206"/>
      <c r="AP6" s="130"/>
      <c r="AQ6" s="122"/>
      <c r="AR6" s="124"/>
      <c r="AS6" s="124"/>
      <c r="AT6" s="124"/>
      <c r="AU6" s="164"/>
      <c r="AV6" s="49"/>
      <c r="AW6" s="143"/>
      <c r="AX6" s="143"/>
      <c r="AY6" s="164"/>
      <c r="AZ6" s="49"/>
      <c r="BA6" s="143"/>
      <c r="BB6" s="143"/>
      <c r="BC6" s="164"/>
      <c r="BD6" s="49"/>
      <c r="BE6" s="4"/>
      <c r="BF6" s="4"/>
      <c r="BG6" s="55"/>
      <c r="BH6" s="55"/>
      <c r="BI6" s="55"/>
      <c r="BJ6" s="164"/>
      <c r="BK6" s="3">
        <f>SUM(C6,G6,K6,R6,V6,Z6,AG6,AK6,AO6,AV6,AZ6,BD6)</f>
        <v>149482</v>
      </c>
      <c r="BL6" s="3">
        <f>SUM(D6,H6,L6,S6,W6,AA6,AH6,AL6,AP6,AW6,BA6,BE6)</f>
        <v>112715</v>
      </c>
      <c r="BM6" s="3">
        <f>SUM(E6,I6,M6,T6,X6,AB6,AI6,AM6,AQ6,AX6,BB6,BF6)</f>
        <v>178209</v>
      </c>
      <c r="BN6" s="13">
        <f>(BM6-BL6)/BL6</f>
        <v>0.58105842168300581</v>
      </c>
    </row>
    <row r="7" spans="2:69">
      <c r="B7" s="248" t="s">
        <v>3</v>
      </c>
      <c r="C7" s="263">
        <f>VLOOKUP(B7,[1]Israel!$B$4:$D$9,2,FALSE)</f>
        <v>1963</v>
      </c>
      <c r="D7" s="191">
        <v>1863</v>
      </c>
      <c r="E7" s="179">
        <v>2202</v>
      </c>
      <c r="F7" s="198">
        <f>(E7-D7)/D7</f>
        <v>0.1819645732689211</v>
      </c>
      <c r="G7" s="266">
        <v>1413</v>
      </c>
      <c r="H7" s="280">
        <v>1166</v>
      </c>
      <c r="I7" s="143">
        <v>1426</v>
      </c>
      <c r="J7" s="206">
        <f t="shared" ref="J7:J10" si="0">(I7-H7)/H7</f>
        <v>0.22298456260720412</v>
      </c>
      <c r="K7" s="280">
        <v>1579</v>
      </c>
      <c r="L7" s="53">
        <f>4509-H7-D7</f>
        <v>1480</v>
      </c>
      <c r="M7" s="216">
        <v>1964</v>
      </c>
      <c r="N7" s="53">
        <f t="shared" ref="N7:N9" si="1">SUM(C7,G7,K7)</f>
        <v>4955</v>
      </c>
      <c r="O7" s="53">
        <f t="shared" ref="O7:O9" si="2">SUM(D7,H7,L7)</f>
        <v>4509</v>
      </c>
      <c r="P7" s="53">
        <f t="shared" ref="P7:P9" si="3">SUM(E7,I7,M7)</f>
        <v>5592</v>
      </c>
      <c r="Q7" s="222">
        <f t="shared" ref="Q7:Q10" si="4">(M7-L7)/L7</f>
        <v>0.32702702702702702</v>
      </c>
      <c r="R7" s="143">
        <v>1122</v>
      </c>
      <c r="S7" s="143">
        <v>304</v>
      </c>
      <c r="T7" s="81">
        <v>1182</v>
      </c>
      <c r="U7" s="164">
        <f t="shared" ref="U7:U10" si="5">(T7-S7)/S7</f>
        <v>2.888157894736842</v>
      </c>
      <c r="V7" s="143">
        <v>1174</v>
      </c>
      <c r="W7" s="143">
        <v>759</v>
      </c>
      <c r="X7" s="47">
        <v>1364</v>
      </c>
      <c r="Y7" s="164">
        <f t="shared" ref="Y7:Y9" si="6">(X7-W7)/W7</f>
        <v>0.79710144927536231</v>
      </c>
      <c r="Z7" s="143">
        <v>1349</v>
      </c>
      <c r="AA7" s="143">
        <v>1096</v>
      </c>
      <c r="AB7" s="84">
        <v>1420</v>
      </c>
      <c r="AC7" s="53">
        <f t="shared" ref="AC7:AC10" si="7">SUM(R7,V7,Z7)</f>
        <v>3645</v>
      </c>
      <c r="AD7" s="53">
        <f t="shared" ref="AD7:AD10" si="8">SUM(S7,W7,AA7)</f>
        <v>2159</v>
      </c>
      <c r="AE7" s="53">
        <f t="shared" ref="AE7:AE10" si="9">SUM(T7,X7,AB7)</f>
        <v>3966</v>
      </c>
      <c r="AF7" s="164">
        <f t="shared" ref="AF7:AF10" si="10">(AB7-AA7)/AA7</f>
        <v>0.29562043795620441</v>
      </c>
      <c r="AG7" s="49"/>
      <c r="AH7" s="143"/>
      <c r="AI7" s="142"/>
      <c r="AJ7" s="164"/>
      <c r="AK7" s="49"/>
      <c r="AL7" s="143"/>
      <c r="AM7" s="143"/>
      <c r="AN7" s="164"/>
      <c r="AO7" s="206"/>
      <c r="AP7" s="130"/>
      <c r="AQ7" s="122"/>
      <c r="AR7" s="124"/>
      <c r="AS7" s="124"/>
      <c r="AT7" s="124"/>
      <c r="AU7" s="164"/>
      <c r="AV7" s="49"/>
      <c r="AW7" s="143"/>
      <c r="AX7" s="143"/>
      <c r="AY7" s="164"/>
      <c r="AZ7" s="49"/>
      <c r="BA7" s="143"/>
      <c r="BB7" s="143"/>
      <c r="BC7" s="164"/>
      <c r="BD7" s="49"/>
      <c r="BE7" s="4"/>
      <c r="BF7" s="143"/>
      <c r="BG7" s="53"/>
      <c r="BH7" s="53"/>
      <c r="BI7" s="53"/>
      <c r="BJ7" s="164"/>
      <c r="BK7" s="3">
        <f t="shared" ref="BK7:BK10" si="11">SUM(C7,G7,K7,R7,V7,Z7,AG7,AK7,AO7,AV7,AZ7,BD7)</f>
        <v>8600</v>
      </c>
      <c r="BL7" s="3">
        <f t="shared" ref="BL7:BL9" si="12">SUM(D7,H7,L7,S7,W7,AA7,AH7,AL7,AP7,AW7,BA7,BE7)</f>
        <v>6668</v>
      </c>
      <c r="BM7" s="3">
        <f t="shared" ref="BM7:BM9" si="13">SUM(E7,I7,M7,T7,X7,AB7,AI7,AM7,AQ7,AX7,BB7,BF7)</f>
        <v>9558</v>
      </c>
      <c r="BN7" s="13">
        <f>(BM7-BL7)/BL7</f>
        <v>0.43341331733653271</v>
      </c>
    </row>
    <row r="8" spans="2:69">
      <c r="B8" s="248" t="s">
        <v>4</v>
      </c>
      <c r="C8" s="263">
        <f>VLOOKUP(B8,[1]Israel!$B$4:$D$9,2,FALSE)</f>
        <v>1315</v>
      </c>
      <c r="D8" s="191">
        <v>1362</v>
      </c>
      <c r="E8" s="179">
        <v>1786</v>
      </c>
      <c r="F8" s="198">
        <f>(E8-D8)/D8</f>
        <v>0.31130690161527164</v>
      </c>
      <c r="G8" s="266">
        <v>947</v>
      </c>
      <c r="H8" s="280">
        <v>602</v>
      </c>
      <c r="I8" s="143">
        <v>1205</v>
      </c>
      <c r="J8" s="206">
        <f t="shared" si="0"/>
        <v>1.0016611295681064</v>
      </c>
      <c r="K8" s="280">
        <v>1131</v>
      </c>
      <c r="L8" s="53">
        <f>3213-H8-D8</f>
        <v>1249</v>
      </c>
      <c r="M8" s="216">
        <v>1156</v>
      </c>
      <c r="N8" s="53">
        <f t="shared" si="1"/>
        <v>3393</v>
      </c>
      <c r="O8" s="53">
        <f t="shared" si="2"/>
        <v>3213</v>
      </c>
      <c r="P8" s="53">
        <f t="shared" si="3"/>
        <v>4147</v>
      </c>
      <c r="Q8" s="222">
        <f t="shared" si="4"/>
        <v>-7.4459567654123301E-2</v>
      </c>
      <c r="R8" s="143">
        <v>949</v>
      </c>
      <c r="S8" s="143">
        <v>459</v>
      </c>
      <c r="T8" s="143">
        <v>1332</v>
      </c>
      <c r="U8" s="164">
        <f t="shared" si="5"/>
        <v>1.9019607843137254</v>
      </c>
      <c r="V8" s="143">
        <v>923</v>
      </c>
      <c r="W8" s="143">
        <v>774</v>
      </c>
      <c r="X8" s="143">
        <v>1657</v>
      </c>
      <c r="Y8" s="164">
        <f t="shared" si="6"/>
        <v>1.1408268733850129</v>
      </c>
      <c r="Z8" s="143">
        <v>893</v>
      </c>
      <c r="AA8" s="143">
        <v>867</v>
      </c>
      <c r="AB8" s="84">
        <v>1221</v>
      </c>
      <c r="AC8" s="53">
        <f t="shared" si="7"/>
        <v>2765</v>
      </c>
      <c r="AD8" s="53">
        <f t="shared" si="8"/>
        <v>2100</v>
      </c>
      <c r="AE8" s="53">
        <f t="shared" si="9"/>
        <v>4210</v>
      </c>
      <c r="AF8" s="164">
        <f t="shared" si="10"/>
        <v>0.40830449826989618</v>
      </c>
      <c r="AG8" s="49"/>
      <c r="AH8" s="143"/>
      <c r="AI8" s="143"/>
      <c r="AJ8" s="164"/>
      <c r="AK8" s="49"/>
      <c r="AL8" s="143"/>
      <c r="AM8" s="143"/>
      <c r="AN8" s="164"/>
      <c r="AO8" s="206"/>
      <c r="AP8" s="130"/>
      <c r="AQ8" s="122"/>
      <c r="AR8" s="124"/>
      <c r="AS8" s="124"/>
      <c r="AT8" s="124"/>
      <c r="AU8" s="164"/>
      <c r="AV8" s="49"/>
      <c r="AW8" s="143"/>
      <c r="AX8" s="143"/>
      <c r="AY8" s="164"/>
      <c r="AZ8" s="49"/>
      <c r="BA8" s="143"/>
      <c r="BB8" s="143"/>
      <c r="BC8" s="164"/>
      <c r="BD8" s="49"/>
      <c r="BE8" s="4"/>
      <c r="BF8" s="143"/>
      <c r="BG8" s="53"/>
      <c r="BH8" s="53"/>
      <c r="BI8" s="53"/>
      <c r="BJ8" s="164"/>
      <c r="BK8" s="3">
        <f t="shared" si="11"/>
        <v>6158</v>
      </c>
      <c r="BL8" s="3">
        <f t="shared" si="12"/>
        <v>5313</v>
      </c>
      <c r="BM8" s="3">
        <f t="shared" si="13"/>
        <v>8357</v>
      </c>
      <c r="BN8" s="13">
        <f>(BM8-BL8)/BL8</f>
        <v>0.57293431206474688</v>
      </c>
    </row>
    <row r="9" spans="2:69">
      <c r="B9" s="248" t="s">
        <v>5</v>
      </c>
      <c r="C9" s="263">
        <f>VLOOKUP(B9,[1]Israel!$B$4:$D$9,2,FALSE)</f>
        <v>332</v>
      </c>
      <c r="D9" s="191">
        <v>368</v>
      </c>
      <c r="E9" s="143">
        <v>270</v>
      </c>
      <c r="F9" s="198">
        <f>(E9-D9)/D9</f>
        <v>-0.26630434782608697</v>
      </c>
      <c r="G9" s="266">
        <v>324</v>
      </c>
      <c r="H9" s="280">
        <v>384</v>
      </c>
      <c r="I9" s="143">
        <v>220</v>
      </c>
      <c r="J9" s="206">
        <f t="shared" si="0"/>
        <v>-0.42708333333333331</v>
      </c>
      <c r="K9" s="280">
        <v>373</v>
      </c>
      <c r="L9" s="53">
        <f>818-H9-D9</f>
        <v>66</v>
      </c>
      <c r="M9" s="216">
        <v>196</v>
      </c>
      <c r="N9" s="53">
        <f t="shared" si="1"/>
        <v>1029</v>
      </c>
      <c r="O9" s="53">
        <f t="shared" si="2"/>
        <v>818</v>
      </c>
      <c r="P9" s="53">
        <f t="shared" si="3"/>
        <v>686</v>
      </c>
      <c r="Q9" s="222">
        <f t="shared" si="4"/>
        <v>1.9696969696969697</v>
      </c>
      <c r="R9" s="143">
        <v>189</v>
      </c>
      <c r="S9" s="143">
        <v>31</v>
      </c>
      <c r="T9" s="143">
        <v>200</v>
      </c>
      <c r="U9" s="164">
        <f t="shared" si="5"/>
        <v>5.4516129032258061</v>
      </c>
      <c r="V9" s="143">
        <v>249</v>
      </c>
      <c r="W9" s="143">
        <v>101</v>
      </c>
      <c r="X9" s="143">
        <v>463</v>
      </c>
      <c r="Y9" s="164">
        <f t="shared" si="6"/>
        <v>3.5841584158415842</v>
      </c>
      <c r="Z9" s="143">
        <v>264</v>
      </c>
      <c r="AA9" s="143">
        <v>141</v>
      </c>
      <c r="AB9" s="84">
        <v>315</v>
      </c>
      <c r="AC9" s="53">
        <f t="shared" si="7"/>
        <v>702</v>
      </c>
      <c r="AD9" s="53">
        <f t="shared" si="8"/>
        <v>273</v>
      </c>
      <c r="AE9" s="53">
        <f t="shared" si="9"/>
        <v>978</v>
      </c>
      <c r="AF9" s="164">
        <f t="shared" si="10"/>
        <v>1.2340425531914894</v>
      </c>
      <c r="AG9" s="49"/>
      <c r="AH9" s="143"/>
      <c r="AI9" s="143"/>
      <c r="AJ9" s="164"/>
      <c r="AK9" s="49"/>
      <c r="AL9" s="143"/>
      <c r="AM9" s="143"/>
      <c r="AN9" s="164"/>
      <c r="AO9" s="193"/>
      <c r="AP9" s="53"/>
      <c r="AQ9" s="238"/>
      <c r="AR9" s="238"/>
      <c r="AS9" s="238"/>
      <c r="AT9" s="238"/>
      <c r="AU9" s="164"/>
      <c r="AV9" s="206"/>
      <c r="AW9" s="53"/>
      <c r="AX9" s="191"/>
      <c r="AY9" s="164"/>
      <c r="AZ9" s="193"/>
      <c r="BA9" s="53"/>
      <c r="BB9" s="191"/>
      <c r="BC9" s="164"/>
      <c r="BD9" s="49"/>
      <c r="BE9" s="4"/>
      <c r="BF9" s="143"/>
      <c r="BG9" s="53"/>
      <c r="BH9" s="53"/>
      <c r="BI9" s="53"/>
      <c r="BJ9" s="164"/>
      <c r="BK9" s="3">
        <f t="shared" si="11"/>
        <v>1731</v>
      </c>
      <c r="BL9" s="3">
        <f t="shared" si="12"/>
        <v>1091</v>
      </c>
      <c r="BM9" s="3">
        <f t="shared" si="13"/>
        <v>1664</v>
      </c>
      <c r="BN9" s="13">
        <f>(BM9-BL9)/BL9</f>
        <v>0.52520623281393219</v>
      </c>
    </row>
    <row r="10" spans="2:69" s="57" customFormat="1">
      <c r="B10" s="249" t="s">
        <v>7</v>
      </c>
      <c r="C10" s="192">
        <f>SUM(C6:C9)</f>
        <v>40122</v>
      </c>
      <c r="D10" s="192">
        <f>SUM(D6:D9)</f>
        <v>43442</v>
      </c>
      <c r="E10" s="3">
        <f>SUM(E6:E9)</f>
        <v>52500</v>
      </c>
      <c r="F10" s="165">
        <f>(E10-D10)/D10</f>
        <v>0.20850789558491784</v>
      </c>
      <c r="G10" s="3">
        <f>SUM(G6:G9)</f>
        <v>22554</v>
      </c>
      <c r="H10" s="3">
        <f>SUM(H6:H9)</f>
        <v>17115</v>
      </c>
      <c r="I10" s="3">
        <f>SUM(I6:I9)</f>
        <v>28356</v>
      </c>
      <c r="J10" s="207">
        <f t="shared" si="0"/>
        <v>0.65679228746713414</v>
      </c>
      <c r="K10" s="3">
        <f>SUM(K6:K9)</f>
        <v>33864</v>
      </c>
      <c r="L10" s="3">
        <f>SUM(L6:L9)</f>
        <v>28642</v>
      </c>
      <c r="M10" s="3">
        <f>SUM(M6:M9)</f>
        <v>24424</v>
      </c>
      <c r="N10" s="227">
        <f>SUM(N6:N9)</f>
        <v>96540</v>
      </c>
      <c r="O10" s="227">
        <f t="shared" ref="O10:P10" si="14">SUM(O6:O9)</f>
        <v>89199</v>
      </c>
      <c r="P10" s="227">
        <f t="shared" si="14"/>
        <v>105280</v>
      </c>
      <c r="Q10" s="223">
        <f t="shared" si="4"/>
        <v>-0.14726625235667901</v>
      </c>
      <c r="R10" s="227">
        <f>SUM(R6:R9)</f>
        <v>23867</v>
      </c>
      <c r="S10" s="227">
        <f>SUM(S6:S9)</f>
        <v>3052</v>
      </c>
      <c r="T10" s="227">
        <f>SUM(T6:T9)</f>
        <v>27546</v>
      </c>
      <c r="U10" s="164">
        <f t="shared" si="5"/>
        <v>8.0255570117955433</v>
      </c>
      <c r="V10" s="227">
        <f>SUM(V6:V9)</f>
        <v>22569</v>
      </c>
      <c r="W10" s="227">
        <f>SUM(W6:W9)</f>
        <v>11311</v>
      </c>
      <c r="X10" s="227">
        <f>SUM(X6:X9)</f>
        <v>30284</v>
      </c>
      <c r="Y10" s="164">
        <f>(X10-W10)/W10</f>
        <v>1.6773936875607816</v>
      </c>
      <c r="Z10" s="227">
        <f>SUM(Z6:Z9)</f>
        <v>22995</v>
      </c>
      <c r="AA10" s="227">
        <f>SUM(AA6:AA9)</f>
        <v>22225</v>
      </c>
      <c r="AB10" s="227">
        <f>SUM(AB6:AB9)</f>
        <v>34678</v>
      </c>
      <c r="AC10" s="145">
        <f t="shared" si="7"/>
        <v>69431</v>
      </c>
      <c r="AD10" s="145">
        <f t="shared" si="8"/>
        <v>36588</v>
      </c>
      <c r="AE10" s="145">
        <f t="shared" si="9"/>
        <v>92508</v>
      </c>
      <c r="AF10" s="165">
        <f t="shared" si="10"/>
        <v>0.56031496062992125</v>
      </c>
      <c r="AG10" s="50"/>
      <c r="AH10" s="3"/>
      <c r="AI10" s="3"/>
      <c r="AJ10" s="165"/>
      <c r="AK10" s="50"/>
      <c r="AL10" s="3"/>
      <c r="AM10" s="3"/>
      <c r="AN10" s="165"/>
      <c r="AO10" s="50"/>
      <c r="AP10" s="227"/>
      <c r="AQ10" s="3"/>
      <c r="AR10" s="145"/>
      <c r="AS10" s="145"/>
      <c r="AT10" s="145"/>
      <c r="AU10" s="165"/>
      <c r="AV10" s="50"/>
      <c r="AW10" s="227"/>
      <c r="AX10" s="3"/>
      <c r="AY10" s="165"/>
      <c r="AZ10" s="50"/>
      <c r="BA10" s="227"/>
      <c r="BB10" s="3"/>
      <c r="BC10" s="165"/>
      <c r="BD10" s="50"/>
      <c r="BE10" s="3"/>
      <c r="BF10" s="3"/>
      <c r="BG10" s="145"/>
      <c r="BH10" s="145"/>
      <c r="BI10" s="145"/>
      <c r="BJ10" s="165"/>
      <c r="BK10" s="3">
        <f t="shared" si="11"/>
        <v>165971</v>
      </c>
      <c r="BL10" s="3">
        <f>SUM(D10,H10,L10,S10,W10,AA10,AH10,AL10,AP10,AW10,BA10,BE10)</f>
        <v>125787</v>
      </c>
      <c r="BM10" s="3">
        <f>SUM(E10,I10,M10,T10,X10,AB10,AI10,AM10,AQ10,AX10,BB10,BF10)</f>
        <v>197788</v>
      </c>
      <c r="BN10" s="14">
        <f>(BM10-BL10)/BL10</f>
        <v>0.57240414351244562</v>
      </c>
      <c r="BP10" s="51"/>
      <c r="BQ10" s="62"/>
    </row>
    <row r="11" spans="2:69">
      <c r="AC11" s="316"/>
      <c r="AD11" s="316"/>
      <c r="AE11" s="316"/>
    </row>
    <row r="12" spans="2:69">
      <c r="B12" s="51" t="s">
        <v>155</v>
      </c>
      <c r="D12" s="67" t="s">
        <v>134</v>
      </c>
      <c r="L12" s="306"/>
      <c r="W12" s="316"/>
      <c r="X12" s="316"/>
      <c r="Y12" s="316"/>
      <c r="AC12" s="316"/>
      <c r="AD12" s="316"/>
      <c r="AE12" s="316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</row>
    <row r="13" spans="2:69">
      <c r="K13" s="306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</row>
    <row r="14" spans="2:69">
      <c r="B14" s="51" t="s">
        <v>122</v>
      </c>
      <c r="D14" s="63"/>
      <c r="E14" s="63"/>
      <c r="F14" s="63"/>
      <c r="G14" s="63"/>
      <c r="H14" s="63"/>
      <c r="I14" s="63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</row>
    <row r="15" spans="2:69">
      <c r="B15" s="51" t="s">
        <v>123</v>
      </c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</row>
    <row r="16" spans="2:69">
      <c r="D16" s="142"/>
      <c r="E16" s="142"/>
      <c r="F16" s="142"/>
      <c r="G16" s="142"/>
      <c r="H16" s="142"/>
      <c r="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</row>
    <row r="17" spans="4:64">
      <c r="D17" s="142"/>
      <c r="E17" s="142"/>
      <c r="F17" s="142"/>
      <c r="G17" s="142"/>
      <c r="H17" s="142"/>
      <c r="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</row>
    <row r="18" spans="4:64">
      <c r="D18" s="142"/>
      <c r="E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</row>
    <row r="19" spans="4:64">
      <c r="D19" s="142"/>
      <c r="E19" s="142"/>
      <c r="K19" s="316"/>
      <c r="X19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</row>
    <row r="20" spans="4:64">
      <c r="D20" s="142"/>
      <c r="E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</row>
    <row r="21" spans="4:64">
      <c r="D21" s="142"/>
      <c r="E21" s="142"/>
      <c r="S21"/>
      <c r="T21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</row>
    <row r="22" spans="4:64"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</row>
    <row r="23" spans="4:64"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</row>
    <row r="24" spans="4:64">
      <c r="S24"/>
    </row>
    <row r="25" spans="4:64">
      <c r="F25" s="68"/>
      <c r="G25"/>
      <c r="H25"/>
      <c r="I25"/>
      <c r="J25"/>
      <c r="K25"/>
      <c r="L25"/>
      <c r="M25"/>
      <c r="N25"/>
      <c r="O25"/>
      <c r="P25"/>
      <c r="Q25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pageMargins left="0.7" right="0.7" top="0.78740157499999996" bottom="0.78740157499999996" header="0.3" footer="0.3"/>
  <pageSetup paperSize="9" orientation="portrait" r:id="rId1"/>
  <ignoredErrors>
    <ignoredError sqref="D10:E10 K10:M10 G10:I10 V10:X10 R10:T10 Z10:AB10" formulaRange="1"/>
    <ignoredError sqref="F10" formula="1" formulaRange="1"/>
    <ignoredError sqref="J10 Q10 Y10 U1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ACC6-9AB4-4C51-A641-A90B4DEC5387}">
  <dimension ref="A1:BQ21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19.28515625" style="51" customWidth="1"/>
    <col min="3" max="3" width="8.85546875" style="51" bestFit="1" customWidth="1"/>
    <col min="4" max="4" width="9.7109375" style="51" customWidth="1"/>
    <col min="5" max="5" width="10" style="51" customWidth="1"/>
    <col min="6" max="6" width="11.5703125" style="51" customWidth="1"/>
    <col min="7" max="7" width="10" style="51" customWidth="1"/>
    <col min="8" max="8" width="9.5703125" style="51" customWidth="1"/>
    <col min="9" max="9" width="10.85546875" style="51" customWidth="1"/>
    <col min="10" max="10" width="9.85546875" style="51" customWidth="1"/>
    <col min="11" max="11" width="9.570312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9" width="10" style="51" customWidth="1"/>
    <col min="20" max="20" width="9.7109375" style="51" customWidth="1"/>
    <col min="21" max="21" width="10.140625" style="51" customWidth="1"/>
    <col min="22" max="22" width="9.140625" style="51" customWidth="1"/>
    <col min="23" max="23" width="8.85546875" style="51" customWidth="1"/>
    <col min="24" max="24" width="10.42578125" style="51" customWidth="1"/>
    <col min="25" max="25" width="9.85546875" style="51" bestFit="1" customWidth="1"/>
    <col min="26" max="26" width="10.140625" style="51" customWidth="1"/>
    <col min="27" max="31" width="9.5703125" style="51" customWidth="1"/>
    <col min="32" max="32" width="11.42578125" style="51"/>
    <col min="33" max="33" width="8.5703125" style="51" customWidth="1"/>
    <col min="34" max="34" width="9.28515625" style="51" customWidth="1"/>
    <col min="35" max="35" width="9.7109375" style="51" customWidth="1"/>
    <col min="36" max="36" width="9.85546875" style="51" bestFit="1" customWidth="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/>
    <col min="41" max="41" width="9" style="51" customWidth="1"/>
    <col min="42" max="51" width="11.42578125" style="51"/>
    <col min="52" max="52" width="9.7109375" style="51" customWidth="1"/>
    <col min="53" max="62" width="11.42578125" style="51" customWidth="1"/>
    <col min="63" max="63" width="11.42578125" style="316" customWidth="1"/>
    <col min="64" max="16384" width="11.42578125" style="51"/>
  </cols>
  <sheetData>
    <row r="1" spans="2:69">
      <c r="B1" s="57" t="s">
        <v>77</v>
      </c>
      <c r="C1" s="57"/>
    </row>
    <row r="2" spans="2:69">
      <c r="B2" s="57"/>
      <c r="C2" s="57"/>
    </row>
    <row r="4" spans="2:69" ht="45" customHeight="1">
      <c r="B4" s="1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35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35" t="s">
        <v>29</v>
      </c>
      <c r="AG4" s="365" t="s">
        <v>2</v>
      </c>
      <c r="AH4" s="366"/>
      <c r="AI4" s="367"/>
      <c r="AJ4" s="135" t="s">
        <v>29</v>
      </c>
      <c r="AK4" s="365" t="s">
        <v>12</v>
      </c>
      <c r="AL4" s="366"/>
      <c r="AM4" s="367"/>
      <c r="AN4" s="135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35" t="s">
        <v>29</v>
      </c>
      <c r="AV4" s="365" t="s">
        <v>14</v>
      </c>
      <c r="AW4" s="366"/>
      <c r="AX4" s="367"/>
      <c r="AY4" s="183" t="s">
        <v>29</v>
      </c>
      <c r="AZ4" s="365" t="s">
        <v>15</v>
      </c>
      <c r="BA4" s="366"/>
      <c r="BB4" s="367"/>
      <c r="BC4" s="135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3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12">
        <v>2021</v>
      </c>
      <c r="F5" s="135" t="s">
        <v>130</v>
      </c>
      <c r="G5" s="16">
        <v>2019</v>
      </c>
      <c r="H5" s="12">
        <v>2020</v>
      </c>
      <c r="I5" s="12">
        <v>2021</v>
      </c>
      <c r="J5" s="135" t="s">
        <v>130</v>
      </c>
      <c r="K5" s="16">
        <v>2019</v>
      </c>
      <c r="L5" s="12">
        <v>2020</v>
      </c>
      <c r="M5" s="12">
        <v>2021</v>
      </c>
      <c r="N5" s="58">
        <v>2019</v>
      </c>
      <c r="O5" s="58">
        <v>2020</v>
      </c>
      <c r="P5" s="58">
        <v>2021</v>
      </c>
      <c r="Q5" s="135" t="s">
        <v>130</v>
      </c>
      <c r="R5" s="16">
        <v>2019</v>
      </c>
      <c r="S5" s="12">
        <v>2020</v>
      </c>
      <c r="T5" s="12">
        <v>2021</v>
      </c>
      <c r="U5" s="135" t="s">
        <v>130</v>
      </c>
      <c r="V5" s="16">
        <v>2019</v>
      </c>
      <c r="W5" s="12">
        <v>2020</v>
      </c>
      <c r="X5" s="12">
        <v>2021</v>
      </c>
      <c r="Y5" s="135" t="s">
        <v>130</v>
      </c>
      <c r="Z5" s="16">
        <v>2019</v>
      </c>
      <c r="AA5" s="12">
        <v>2020</v>
      </c>
      <c r="AB5" s="12">
        <v>2021</v>
      </c>
      <c r="AC5" s="16">
        <v>2019</v>
      </c>
      <c r="AD5" s="12">
        <v>2020</v>
      </c>
      <c r="AE5" s="12">
        <v>2021</v>
      </c>
      <c r="AF5" s="135" t="s">
        <v>130</v>
      </c>
      <c r="AG5" s="16">
        <v>2019</v>
      </c>
      <c r="AH5" s="12">
        <v>2020</v>
      </c>
      <c r="AI5" s="12">
        <v>2021</v>
      </c>
      <c r="AJ5" s="135" t="s">
        <v>130</v>
      </c>
      <c r="AK5" s="16">
        <v>2019</v>
      </c>
      <c r="AL5" s="12">
        <v>2020</v>
      </c>
      <c r="AM5" s="12">
        <v>2021</v>
      </c>
      <c r="AN5" s="135" t="s">
        <v>130</v>
      </c>
      <c r="AO5" s="16">
        <v>2019</v>
      </c>
      <c r="AP5" s="12">
        <v>2020</v>
      </c>
      <c r="AQ5" s="12">
        <v>2021</v>
      </c>
      <c r="AR5" s="58">
        <v>2019</v>
      </c>
      <c r="AS5" s="58">
        <v>2020</v>
      </c>
      <c r="AT5" s="58">
        <v>2021</v>
      </c>
      <c r="AU5" s="135" t="s">
        <v>130</v>
      </c>
      <c r="AV5" s="16">
        <v>2019</v>
      </c>
      <c r="AW5" s="12">
        <v>2020</v>
      </c>
      <c r="AX5" s="12">
        <v>2021</v>
      </c>
      <c r="AY5" s="135" t="s">
        <v>130</v>
      </c>
      <c r="AZ5" s="16">
        <v>2019</v>
      </c>
      <c r="BA5" s="12">
        <v>2020</v>
      </c>
      <c r="BB5" s="12">
        <v>2021</v>
      </c>
      <c r="BC5" s="135" t="s">
        <v>130</v>
      </c>
      <c r="BD5" s="16">
        <v>2019</v>
      </c>
      <c r="BE5" s="12">
        <v>2020</v>
      </c>
      <c r="BF5" s="12">
        <v>2021</v>
      </c>
      <c r="BG5" s="58">
        <v>2019</v>
      </c>
      <c r="BH5" s="58">
        <v>2020</v>
      </c>
      <c r="BI5" s="58">
        <v>2021</v>
      </c>
      <c r="BJ5" s="135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54">
        <f>VLOOKUP(B6,[1]Italy!$B$4:$D$9,2,FALSE)</f>
        <v>165271</v>
      </c>
      <c r="D6" s="254">
        <v>155867</v>
      </c>
      <c r="E6" s="5">
        <v>134177</v>
      </c>
      <c r="F6" s="198">
        <f>(E6-D6)/D6</f>
        <v>-0.13915710188814823</v>
      </c>
      <c r="G6" s="277">
        <v>178494</v>
      </c>
      <c r="H6" s="203">
        <v>163124</v>
      </c>
      <c r="I6" s="7">
        <v>143117</v>
      </c>
      <c r="J6" s="206">
        <f>(I6-H6)/H6</f>
        <v>-0.12264902773350335</v>
      </c>
      <c r="K6" s="277">
        <v>194302</v>
      </c>
      <c r="L6" s="203">
        <v>28415</v>
      </c>
      <c r="M6" s="212">
        <v>169684</v>
      </c>
      <c r="N6" s="229">
        <f>SUM(C6,G6,K6)</f>
        <v>538067</v>
      </c>
      <c r="O6" s="229">
        <f>SUM(D6,H6,L6)</f>
        <v>347406</v>
      </c>
      <c r="P6" s="229">
        <f>SUM(E6,I6,M6)</f>
        <v>446978</v>
      </c>
      <c r="Q6" s="222">
        <f>(M6-L6)/L6</f>
        <v>4.9716346999824035</v>
      </c>
      <c r="R6" s="277">
        <v>174924</v>
      </c>
      <c r="S6" s="203">
        <v>4295</v>
      </c>
      <c r="T6" s="7">
        <v>145033</v>
      </c>
      <c r="U6" s="49">
        <f>(T6-S6)/S6</f>
        <v>32.76786961583236</v>
      </c>
      <c r="V6" s="277">
        <v>197881</v>
      </c>
      <c r="W6" s="203">
        <v>99842</v>
      </c>
      <c r="X6" s="7">
        <v>142730</v>
      </c>
      <c r="Y6" s="49">
        <f>(X6-W6)/W6</f>
        <v>0.42955870275034552</v>
      </c>
      <c r="Z6" s="277">
        <v>172313</v>
      </c>
      <c r="AA6" s="277">
        <v>132691</v>
      </c>
      <c r="AB6" s="180">
        <v>149438</v>
      </c>
      <c r="AC6" s="229">
        <f>SUM(R6,V6,Z6)</f>
        <v>545118</v>
      </c>
      <c r="AD6" s="229">
        <f>SUM(S6,W6,AA6)</f>
        <v>236828</v>
      </c>
      <c r="AE6" s="229">
        <f>SUM(T6,X6,AB6)</f>
        <v>437201</v>
      </c>
      <c r="AF6" s="94">
        <f>(AB6-AA6)/AA6</f>
        <v>0.12621051917613102</v>
      </c>
      <c r="AG6" s="226"/>
      <c r="AH6" s="181"/>
      <c r="AI6" s="53"/>
      <c r="AJ6" s="49"/>
      <c r="AK6" s="222"/>
      <c r="AL6" s="181"/>
      <c r="AM6" s="53"/>
      <c r="AN6" s="49"/>
      <c r="AO6" s="49"/>
      <c r="AP6" s="53"/>
      <c r="AQ6" s="53"/>
      <c r="AR6" s="53"/>
      <c r="AS6" s="53"/>
      <c r="AT6" s="53"/>
      <c r="AU6" s="49"/>
      <c r="AV6" s="49"/>
      <c r="AW6" s="53"/>
      <c r="AX6" s="53"/>
      <c r="AY6" s="49"/>
      <c r="AZ6" s="49"/>
      <c r="BA6" s="53"/>
      <c r="BB6" s="53"/>
      <c r="BC6" s="49"/>
      <c r="BD6" s="49"/>
      <c r="BE6" s="55"/>
      <c r="BF6" s="53"/>
      <c r="BG6" s="53"/>
      <c r="BH6" s="53"/>
      <c r="BI6" s="53"/>
      <c r="BJ6" s="49"/>
      <c r="BK6" s="88">
        <f>SUM(C6,G6,K6,R6,V6,Z6,AG6,AK6,AO6,AV6,AZ6,BD6)</f>
        <v>1083185</v>
      </c>
      <c r="BL6" s="88">
        <f>SUM(D6,H6,L6,S6,W6,AA6,AH6,AL6,AP6,AW6,BA6,BE6)</f>
        <v>584234</v>
      </c>
      <c r="BM6" s="88">
        <f>SUM(E6,I6,M6,T6,X6,AB6,AI6,AM6,AQ6,AX6,BB6,BF6)</f>
        <v>884179</v>
      </c>
      <c r="BN6" s="59">
        <f>(BM6-BL6)/BL6</f>
        <v>0.51339874091545512</v>
      </c>
    </row>
    <row r="7" spans="2:69">
      <c r="B7" s="248" t="s">
        <v>3</v>
      </c>
      <c r="C7" s="254">
        <f>VLOOKUP(B7,[1]Italy!$B$4:$D$9,2,FALSE)</f>
        <v>13529</v>
      </c>
      <c r="D7" s="190">
        <v>13209</v>
      </c>
      <c r="E7" s="6">
        <v>12000</v>
      </c>
      <c r="F7" s="198">
        <f>(E7-D7)/D7</f>
        <v>-9.1528503293209176E-2</v>
      </c>
      <c r="G7" s="277">
        <v>15248</v>
      </c>
      <c r="H7" s="277">
        <v>14413</v>
      </c>
      <c r="I7" s="56">
        <v>16000</v>
      </c>
      <c r="J7" s="206">
        <f t="shared" ref="J7:J10" si="0">(I7-H7)/H7</f>
        <v>0.11010892943870117</v>
      </c>
      <c r="K7" s="277">
        <v>17188</v>
      </c>
      <c r="L7" s="277">
        <v>4933</v>
      </c>
      <c r="M7" s="213">
        <v>18200</v>
      </c>
      <c r="N7" s="229">
        <f t="shared" ref="N7:N9" si="1">SUM(C7,G7,K7)</f>
        <v>45965</v>
      </c>
      <c r="O7" s="229">
        <f t="shared" ref="O7:O9" si="2">SUM(D7,H7,L7)</f>
        <v>32555</v>
      </c>
      <c r="P7" s="229">
        <f t="shared" ref="P7:P9" si="3">SUM(E7,I7,M7)</f>
        <v>46200</v>
      </c>
      <c r="Q7" s="222">
        <f t="shared" ref="Q7:Q10" si="4">(M7-L7)/L7</f>
        <v>2.6894384755726737</v>
      </c>
      <c r="R7" s="277">
        <v>15399</v>
      </c>
      <c r="S7" s="203">
        <v>1567</v>
      </c>
      <c r="T7" s="56">
        <v>16800</v>
      </c>
      <c r="U7" s="49">
        <f t="shared" ref="U7:U10" si="5">(T7-S7)/S7</f>
        <v>9.7211231652839825</v>
      </c>
      <c r="V7" s="277">
        <v>17773</v>
      </c>
      <c r="W7" s="203">
        <v>11423</v>
      </c>
      <c r="X7" s="56">
        <v>16948</v>
      </c>
      <c r="Y7" s="49">
        <f t="shared" ref="Y7:Y10" si="6">(X7-W7)/W7</f>
        <v>0.48367329072923049</v>
      </c>
      <c r="Z7" s="277">
        <v>16896</v>
      </c>
      <c r="AA7" s="277">
        <v>15959</v>
      </c>
      <c r="AB7" s="180">
        <v>16200</v>
      </c>
      <c r="AC7" s="229">
        <f t="shared" ref="AC7:AC10" si="7">SUM(R7,V7,Z7)</f>
        <v>50068</v>
      </c>
      <c r="AD7" s="229">
        <f t="shared" ref="AD7:AD10" si="8">SUM(S7,W7,AA7)</f>
        <v>28949</v>
      </c>
      <c r="AE7" s="229">
        <f t="shared" ref="AE7:AE10" si="9">SUM(T7,X7,AB7)</f>
        <v>49948</v>
      </c>
      <c r="AF7" s="94">
        <f t="shared" ref="AF7:AF10" si="10">(AB7-AA7)/AA7</f>
        <v>1.510119681684316E-2</v>
      </c>
      <c r="AG7" s="226"/>
      <c r="AH7" s="181"/>
      <c r="AI7" s="53"/>
      <c r="AJ7" s="49"/>
      <c r="AK7" s="222"/>
      <c r="AL7" s="181"/>
      <c r="AM7" s="53"/>
      <c r="AN7" s="49"/>
      <c r="AO7" s="49"/>
      <c r="AP7" s="53"/>
      <c r="AQ7" s="53"/>
      <c r="AR7" s="53"/>
      <c r="AS7" s="53"/>
      <c r="AT7" s="53"/>
      <c r="AU7" s="49"/>
      <c r="AV7" s="49"/>
      <c r="AW7" s="53"/>
      <c r="AX7" s="53"/>
      <c r="AY7" s="49"/>
      <c r="AZ7" s="49"/>
      <c r="BA7" s="53"/>
      <c r="BB7" s="53"/>
      <c r="BC7" s="49"/>
      <c r="BD7" s="49"/>
      <c r="BE7" s="55"/>
      <c r="BF7" s="53"/>
      <c r="BG7" s="53"/>
      <c r="BH7" s="53"/>
      <c r="BI7" s="53"/>
      <c r="BJ7" s="49"/>
      <c r="BK7" s="88">
        <f t="shared" ref="BK7:BK10" si="11">SUM(C7,G7,K7,R7,V7,Z7,AG7,AK7,AO7,AV7,AZ7,BD7)</f>
        <v>96033</v>
      </c>
      <c r="BL7" s="88">
        <f t="shared" ref="BL7:BL9" si="12">SUM(D7,H7,L7,S7,W7,AA7,AH7,AL7,AP7,AW7,BA7,BE7)</f>
        <v>61504</v>
      </c>
      <c r="BM7" s="88">
        <f t="shared" ref="BM7:BM9" si="13">SUM(E7,I7,M7,T7,X7,AB7,AI7,AM7,AQ7,AX7,BB7,BF7)</f>
        <v>96148</v>
      </c>
      <c r="BN7" s="59">
        <f>(BM7-BL7)/BL7</f>
        <v>0.56328043704474506</v>
      </c>
    </row>
    <row r="8" spans="2:69">
      <c r="B8" s="248" t="s">
        <v>4</v>
      </c>
      <c r="C8" s="254">
        <f>VLOOKUP(B8,[1]Italy!$B$4:$D$9,2,FALSE)</f>
        <v>2301</v>
      </c>
      <c r="D8" s="190">
        <v>2082</v>
      </c>
      <c r="E8" s="6">
        <v>2242</v>
      </c>
      <c r="F8" s="198">
        <f>(E8-D8)/D8</f>
        <v>7.6849183477425559E-2</v>
      </c>
      <c r="G8" s="277">
        <v>1759</v>
      </c>
      <c r="H8" s="277">
        <v>1919</v>
      </c>
      <c r="I8" s="56">
        <v>2144</v>
      </c>
      <c r="J8" s="206">
        <f t="shared" si="0"/>
        <v>0.11724856696195936</v>
      </c>
      <c r="K8" s="277">
        <v>2085</v>
      </c>
      <c r="L8" s="277">
        <v>1379</v>
      </c>
      <c r="M8" s="213">
        <v>2362</v>
      </c>
      <c r="N8" s="229">
        <f t="shared" si="1"/>
        <v>6145</v>
      </c>
      <c r="O8" s="229">
        <f t="shared" si="2"/>
        <v>5380</v>
      </c>
      <c r="P8" s="229">
        <f t="shared" si="3"/>
        <v>6748</v>
      </c>
      <c r="Q8" s="222">
        <f t="shared" si="4"/>
        <v>0.71283538796229151</v>
      </c>
      <c r="R8" s="277">
        <v>2365</v>
      </c>
      <c r="S8" s="203">
        <v>897</v>
      </c>
      <c r="T8" s="56">
        <v>2428</v>
      </c>
      <c r="U8" s="49">
        <f t="shared" si="5"/>
        <v>1.7068004459308808</v>
      </c>
      <c r="V8" s="277">
        <v>2305</v>
      </c>
      <c r="W8" s="203">
        <v>1342</v>
      </c>
      <c r="X8" s="56">
        <v>2227</v>
      </c>
      <c r="Y8" s="49">
        <f t="shared" si="6"/>
        <v>0.65946348733233984</v>
      </c>
      <c r="Z8" s="277">
        <v>3134</v>
      </c>
      <c r="AA8" s="277">
        <v>1593</v>
      </c>
      <c r="AB8" s="180">
        <v>2258</v>
      </c>
      <c r="AC8" s="229">
        <f t="shared" si="7"/>
        <v>7804</v>
      </c>
      <c r="AD8" s="229">
        <f t="shared" si="8"/>
        <v>3832</v>
      </c>
      <c r="AE8" s="229">
        <f t="shared" si="9"/>
        <v>6913</v>
      </c>
      <c r="AF8" s="94">
        <f t="shared" si="10"/>
        <v>0.41745134965473951</v>
      </c>
      <c r="AG8" s="226"/>
      <c r="AH8" s="181"/>
      <c r="AI8" s="53"/>
      <c r="AJ8" s="49"/>
      <c r="AK8" s="222"/>
      <c r="AL8" s="181"/>
      <c r="AM8" s="53"/>
      <c r="AN8" s="49"/>
      <c r="AO8" s="49"/>
      <c r="AP8" s="53"/>
      <c r="AQ8" s="53"/>
      <c r="AR8" s="53"/>
      <c r="AS8" s="53"/>
      <c r="AT8" s="53"/>
      <c r="AU8" s="49"/>
      <c r="AV8" s="49"/>
      <c r="AW8" s="53"/>
      <c r="AX8" s="53"/>
      <c r="AY8" s="49"/>
      <c r="AZ8" s="49"/>
      <c r="BA8" s="53"/>
      <c r="BB8" s="53"/>
      <c r="BC8" s="49"/>
      <c r="BD8" s="49"/>
      <c r="BE8" s="55"/>
      <c r="BF8" s="53"/>
      <c r="BG8" s="53"/>
      <c r="BH8" s="53"/>
      <c r="BI8" s="53"/>
      <c r="BJ8" s="49"/>
      <c r="BK8" s="88">
        <f t="shared" si="11"/>
        <v>13949</v>
      </c>
      <c r="BL8" s="88">
        <f t="shared" si="12"/>
        <v>9212</v>
      </c>
      <c r="BM8" s="88">
        <f t="shared" si="13"/>
        <v>13661</v>
      </c>
      <c r="BN8" s="59">
        <f>(BM8-BL8)/BL8</f>
        <v>0.48295701259227097</v>
      </c>
    </row>
    <row r="9" spans="2:69">
      <c r="B9" s="248" t="s">
        <v>5</v>
      </c>
      <c r="C9" s="254">
        <f>VLOOKUP(B9,[1]Italy!$B$4:$D$9,2,FALSE)</f>
        <v>394</v>
      </c>
      <c r="D9" s="190">
        <v>451</v>
      </c>
      <c r="E9" s="6">
        <v>421</v>
      </c>
      <c r="F9" s="198">
        <f>(E9-D9)/D9</f>
        <v>-6.6518847006651879E-2</v>
      </c>
      <c r="G9" s="277">
        <v>303</v>
      </c>
      <c r="H9" s="277">
        <v>369</v>
      </c>
      <c r="I9" s="56">
        <v>223</v>
      </c>
      <c r="J9" s="206">
        <f t="shared" si="0"/>
        <v>-0.39566395663956638</v>
      </c>
      <c r="K9" s="277">
        <v>356</v>
      </c>
      <c r="L9" s="277">
        <v>314</v>
      </c>
      <c r="M9" s="213">
        <v>333</v>
      </c>
      <c r="N9" s="229">
        <f t="shared" si="1"/>
        <v>1053</v>
      </c>
      <c r="O9" s="229">
        <f t="shared" si="2"/>
        <v>1134</v>
      </c>
      <c r="P9" s="229">
        <f t="shared" si="3"/>
        <v>977</v>
      </c>
      <c r="Q9" s="222">
        <f t="shared" si="4"/>
        <v>6.0509554140127389E-2</v>
      </c>
      <c r="R9" s="277">
        <v>231</v>
      </c>
      <c r="S9" s="203">
        <v>152</v>
      </c>
      <c r="T9" s="56">
        <v>190</v>
      </c>
      <c r="U9" s="49">
        <f t="shared" si="5"/>
        <v>0.25</v>
      </c>
      <c r="V9" s="277">
        <v>341</v>
      </c>
      <c r="W9" s="203">
        <v>100</v>
      </c>
      <c r="X9" s="56">
        <v>289</v>
      </c>
      <c r="Y9" s="49">
        <f t="shared" si="6"/>
        <v>1.89</v>
      </c>
      <c r="Z9" s="277">
        <v>363</v>
      </c>
      <c r="AA9" s="277">
        <v>168</v>
      </c>
      <c r="AB9" s="180">
        <v>207</v>
      </c>
      <c r="AC9" s="229">
        <f t="shared" si="7"/>
        <v>935</v>
      </c>
      <c r="AD9" s="229">
        <f t="shared" si="8"/>
        <v>420</v>
      </c>
      <c r="AE9" s="229">
        <f t="shared" si="9"/>
        <v>686</v>
      </c>
      <c r="AF9" s="94">
        <f t="shared" si="10"/>
        <v>0.23214285714285715</v>
      </c>
      <c r="AG9" s="226"/>
      <c r="AH9" s="181"/>
      <c r="AI9" s="53"/>
      <c r="AJ9" s="49"/>
      <c r="AK9" s="222"/>
      <c r="AL9" s="181"/>
      <c r="AM9" s="53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206"/>
      <c r="BA9" s="53"/>
      <c r="BB9" s="191"/>
      <c r="BC9" s="49"/>
      <c r="BD9" s="49"/>
      <c r="BE9" s="55"/>
      <c r="BF9" s="53"/>
      <c r="BG9" s="53"/>
      <c r="BH9" s="53"/>
      <c r="BI9" s="53"/>
      <c r="BJ9" s="49"/>
      <c r="BK9" s="88">
        <f t="shared" si="11"/>
        <v>1988</v>
      </c>
      <c r="BL9" s="88">
        <f t="shared" si="12"/>
        <v>1554</v>
      </c>
      <c r="BM9" s="88">
        <f t="shared" si="13"/>
        <v>1663</v>
      </c>
      <c r="BN9" s="59">
        <f>(BM9-BL9)/BL9</f>
        <v>7.0141570141570145E-2</v>
      </c>
    </row>
    <row r="10" spans="2:69" s="57" customFormat="1">
      <c r="B10" s="249" t="s">
        <v>7</v>
      </c>
      <c r="C10" s="192">
        <f>SUM(C6:C9)</f>
        <v>181495</v>
      </c>
      <c r="D10" s="192">
        <f>SUM(D6:D9)</f>
        <v>171609</v>
      </c>
      <c r="E10" s="54">
        <f>SUM(E6:E9)</f>
        <v>148840</v>
      </c>
      <c r="F10" s="50">
        <f>(E10-D10)/D10</f>
        <v>-0.13267952147031917</v>
      </c>
      <c r="G10" s="289">
        <f>SUM(G6:G9)</f>
        <v>195804</v>
      </c>
      <c r="H10" s="54">
        <f>SUM(H6:H9)</f>
        <v>179825</v>
      </c>
      <c r="I10" s="54">
        <f>SUM(I6:I9)</f>
        <v>161484</v>
      </c>
      <c r="J10" s="206">
        <f t="shared" si="0"/>
        <v>-0.1019936048936466</v>
      </c>
      <c r="K10" s="145">
        <f>SUM(K6:K9)</f>
        <v>213931</v>
      </c>
      <c r="L10" s="54">
        <f>SUM(L6:L9)</f>
        <v>35041</v>
      </c>
      <c r="M10" s="54">
        <f>SUM(M6:M9)</f>
        <v>190579</v>
      </c>
      <c r="N10" s="227">
        <f>SUM(N6:N9)</f>
        <v>591230</v>
      </c>
      <c r="O10" s="227">
        <f t="shared" ref="O10:P10" si="14">SUM(O6:O9)</f>
        <v>386475</v>
      </c>
      <c r="P10" s="227">
        <f t="shared" si="14"/>
        <v>500903</v>
      </c>
      <c r="Q10" s="223">
        <f t="shared" si="4"/>
        <v>4.4387431865528955</v>
      </c>
      <c r="R10" s="145">
        <f>SUM(R6:R9)</f>
        <v>192919</v>
      </c>
      <c r="S10" s="54">
        <f>SUM(S6:S9)</f>
        <v>6911</v>
      </c>
      <c r="T10" s="145">
        <f>SUM(T6:T9)</f>
        <v>164451</v>
      </c>
      <c r="U10" s="49">
        <f t="shared" si="5"/>
        <v>22.795543336709592</v>
      </c>
      <c r="V10" s="145">
        <f>SUM(V6:V9)</f>
        <v>218300</v>
      </c>
      <c r="W10" s="54">
        <f>SUM(W6:W9)</f>
        <v>112707</v>
      </c>
      <c r="X10" s="145">
        <f>SUM(X6:X9)</f>
        <v>162194</v>
      </c>
      <c r="Y10" s="49">
        <f t="shared" si="6"/>
        <v>0.43907654360421267</v>
      </c>
      <c r="Z10" s="145">
        <f>SUM(Z6:Z9)</f>
        <v>192706</v>
      </c>
      <c r="AA10" s="145">
        <f>SUM(AA6:AA9)</f>
        <v>150411</v>
      </c>
      <c r="AB10" s="145">
        <f>SUM(AB6:AB9)</f>
        <v>168103</v>
      </c>
      <c r="AC10" s="358">
        <f t="shared" si="7"/>
        <v>603925</v>
      </c>
      <c r="AD10" s="358">
        <f t="shared" si="8"/>
        <v>270029</v>
      </c>
      <c r="AE10" s="358">
        <f t="shared" si="9"/>
        <v>494748</v>
      </c>
      <c r="AF10" s="359">
        <f t="shared" si="10"/>
        <v>0.11762437587676433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145"/>
      <c r="BC10" s="50"/>
      <c r="BD10" s="50"/>
      <c r="BE10" s="145"/>
      <c r="BF10" s="145"/>
      <c r="BG10" s="145"/>
      <c r="BH10" s="145"/>
      <c r="BI10" s="145"/>
      <c r="BJ10" s="50"/>
      <c r="BK10" s="88">
        <f t="shared" si="11"/>
        <v>1195155</v>
      </c>
      <c r="BL10" s="54">
        <f>SUM(D10,H10,L10,S10,W10,AA10,AH10,AL10,AP10,AW10,BA10,BE10)</f>
        <v>656504</v>
      </c>
      <c r="BM10" s="145">
        <f>SUM(E10,I10,M10,T10,X10,AB10,AI10,AM10,AQ10,AX10,BB10,BF10)</f>
        <v>995651</v>
      </c>
      <c r="BN10" s="60">
        <f>(BM10-BL10)/BL10</f>
        <v>0.51659548152029533</v>
      </c>
      <c r="BP10" s="51"/>
      <c r="BQ10" s="62"/>
    </row>
    <row r="12" spans="2:69">
      <c r="B12" s="51" t="s">
        <v>24</v>
      </c>
    </row>
    <row r="13" spans="2:69">
      <c r="B13" s="316" t="s">
        <v>156</v>
      </c>
      <c r="BM13" s="142"/>
    </row>
    <row r="14" spans="2:69">
      <c r="D14" s="63"/>
      <c r="E14" s="63"/>
      <c r="F14" s="63"/>
      <c r="G14" s="63"/>
      <c r="H14" s="63"/>
      <c r="I14" s="63"/>
      <c r="L14" s="136"/>
      <c r="M14" s="136"/>
      <c r="N14" s="136"/>
      <c r="O14" s="136"/>
      <c r="P14" s="136"/>
      <c r="S14" s="136"/>
      <c r="T14" s="136"/>
      <c r="W14" s="136"/>
      <c r="X14" s="136"/>
      <c r="AA14" s="136"/>
      <c r="AB14" s="136"/>
      <c r="AC14" s="136"/>
      <c r="AD14" s="136"/>
      <c r="AE14" s="136"/>
      <c r="AH14" s="136"/>
      <c r="AI14" s="136"/>
      <c r="AL14" s="136"/>
      <c r="AM14" s="136"/>
      <c r="AP14" s="136"/>
      <c r="AQ14" s="156"/>
      <c r="AR14" s="156"/>
      <c r="AS14" s="156"/>
      <c r="AT14" s="156"/>
      <c r="AU14" s="156"/>
      <c r="AV14" s="156"/>
      <c r="AW14" s="156"/>
      <c r="AX14" s="136"/>
      <c r="BL14" s="142"/>
    </row>
    <row r="15" spans="2:69">
      <c r="D15" s="64"/>
      <c r="E15" s="64"/>
      <c r="H15" s="64"/>
      <c r="I15" s="64"/>
      <c r="L15" s="64"/>
      <c r="M15" s="64"/>
      <c r="N15" s="142"/>
      <c r="O15" s="142"/>
      <c r="P15" s="142"/>
      <c r="S15" s="64"/>
      <c r="T15" s="64"/>
      <c r="W15" s="64"/>
      <c r="X15" s="64"/>
      <c r="AA15" s="64"/>
      <c r="AB15" s="64"/>
      <c r="AC15" s="142"/>
      <c r="AD15" s="142"/>
      <c r="AE15" s="142"/>
      <c r="AH15" s="64"/>
      <c r="AI15" s="64"/>
      <c r="AL15" s="64"/>
      <c r="AM15" s="64"/>
      <c r="AP15" s="64"/>
      <c r="AQ15" s="64"/>
      <c r="AR15" s="142"/>
      <c r="AS15" s="142"/>
      <c r="AT15" s="142"/>
      <c r="AW15" s="64"/>
      <c r="AX15" s="64"/>
      <c r="BA15" s="64"/>
      <c r="BB15" s="64"/>
    </row>
    <row r="16" spans="2:69">
      <c r="D16" s="64"/>
      <c r="E16" s="64"/>
      <c r="F16" s="64"/>
      <c r="G16" s="142"/>
      <c r="H16" s="64"/>
      <c r="I16" s="64"/>
      <c r="L16" s="64"/>
      <c r="M16" s="64"/>
      <c r="N16" s="142"/>
      <c r="O16" s="142"/>
      <c r="P16" s="142"/>
      <c r="S16" s="64"/>
      <c r="T16" s="64"/>
      <c r="W16" s="64"/>
      <c r="X16" s="64"/>
      <c r="AA16" s="64"/>
      <c r="AB16" s="64"/>
      <c r="AC16" s="142"/>
      <c r="AD16" s="142"/>
      <c r="AE16" s="142"/>
      <c r="AH16" s="64"/>
      <c r="AI16" s="64"/>
      <c r="AL16" s="64"/>
      <c r="AM16" s="64"/>
      <c r="AP16" s="64"/>
      <c r="AQ16" s="64"/>
      <c r="AR16" s="142"/>
      <c r="AS16" s="142"/>
      <c r="AT16" s="142"/>
      <c r="AW16" s="64"/>
      <c r="AX16" s="64"/>
      <c r="BA16" s="64"/>
      <c r="BB16" s="64"/>
    </row>
    <row r="17" spans="4:54">
      <c r="D17" s="64"/>
      <c r="E17" s="64"/>
      <c r="F17" s="64"/>
      <c r="G17" s="142"/>
      <c r="H17" s="64"/>
      <c r="I17" s="64"/>
      <c r="L17" s="64"/>
      <c r="M17" s="64"/>
      <c r="N17" s="142"/>
      <c r="O17" s="142"/>
      <c r="P17" s="142"/>
      <c r="T17" s="64"/>
      <c r="W17" s="64"/>
      <c r="X17" s="64"/>
      <c r="AA17" s="64"/>
      <c r="AB17" s="64"/>
      <c r="AC17" s="142"/>
      <c r="AD17" s="142"/>
      <c r="AE17" s="142"/>
      <c r="AH17" s="64"/>
      <c r="AI17" s="64"/>
      <c r="AL17" s="64"/>
      <c r="AM17" s="64"/>
      <c r="AP17" s="64"/>
      <c r="AQ17" s="64"/>
      <c r="AR17" s="142"/>
      <c r="AS17" s="142"/>
      <c r="AT17" s="142"/>
      <c r="AW17" s="64"/>
      <c r="AX17" s="64"/>
      <c r="BA17" s="64"/>
      <c r="BB17" s="64"/>
    </row>
    <row r="18" spans="4:54">
      <c r="D18" s="64"/>
      <c r="E18" s="64"/>
      <c r="F18" s="64"/>
      <c r="G18" s="142"/>
      <c r="H18" s="64"/>
      <c r="I18" s="64"/>
      <c r="BA18" s="64"/>
      <c r="BB18" s="64"/>
    </row>
    <row r="19" spans="4:54">
      <c r="D19" s="64"/>
      <c r="E19" s="64"/>
      <c r="F19" s="64"/>
      <c r="G19" s="142"/>
      <c r="H19" s="64"/>
      <c r="I19" s="64"/>
      <c r="L19" s="64"/>
      <c r="M19" s="64"/>
      <c r="N19" s="142"/>
      <c r="O19" s="142"/>
      <c r="P19" s="142"/>
      <c r="S19" s="64"/>
      <c r="T19" s="64"/>
      <c r="W19" s="64"/>
      <c r="X19" s="64"/>
      <c r="AA19" s="64"/>
      <c r="AB19" s="64"/>
      <c r="AC19" s="142"/>
      <c r="AD19" s="142"/>
      <c r="AE19" s="142"/>
      <c r="AH19" s="64"/>
      <c r="AI19" s="64"/>
      <c r="AL19" s="64"/>
      <c r="AM19" s="64"/>
      <c r="AP19" s="64"/>
      <c r="AQ19" s="64"/>
      <c r="AR19" s="142"/>
      <c r="AS19" s="142"/>
      <c r="AT19" s="142"/>
      <c r="AW19" s="64"/>
      <c r="AX19" s="64"/>
      <c r="BA19" s="64"/>
      <c r="BB19" s="64"/>
    </row>
    <row r="20" spans="4:54">
      <c r="D20" s="64"/>
      <c r="E20" s="64"/>
      <c r="F20" s="64"/>
      <c r="G20" s="142"/>
      <c r="H20" s="64"/>
      <c r="I20" s="64"/>
    </row>
    <row r="21" spans="4:54">
      <c r="D21" s="64"/>
      <c r="E21" s="64"/>
      <c r="F21" s="64"/>
      <c r="G21" s="142"/>
      <c r="H21" s="64"/>
      <c r="I21" s="64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pageMargins left="0.7" right="0.7" top="0.78740157499999996" bottom="0.78740157499999996" header="0.3" footer="0.3"/>
  <pageSetup paperSize="9" orientation="portrait" r:id="rId1"/>
  <ignoredErrors>
    <ignoredError sqref="D10:E10 G10:I10 K10:M10 V10:X10 R10:T10 Z10:AB10" formulaRange="1"/>
    <ignoredError sqref="F10" formula="1" formulaRange="1"/>
    <ignoredError sqref="J10 Q10 U10 Y10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A2E7-84CD-436F-B477-D07272E53A2F}">
  <dimension ref="A1:BQ17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10.140625" style="51" customWidth="1"/>
    <col min="4" max="4" width="9.140625" style="21" customWidth="1"/>
    <col min="5" max="5" width="12" style="21" customWidth="1"/>
    <col min="6" max="6" width="11.5703125" style="21" customWidth="1"/>
    <col min="7" max="7" width="12.140625" style="51" bestFit="1" customWidth="1"/>
    <col min="8" max="8" width="8.5703125" style="21" customWidth="1"/>
    <col min="9" max="9" width="10.42578125" style="21" customWidth="1"/>
    <col min="10" max="10" width="10.85546875" style="21" customWidth="1"/>
    <col min="11" max="11" width="9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0.140625" style="21" customWidth="1"/>
    <col min="22" max="22" width="8.5703125" style="51" customWidth="1"/>
    <col min="23" max="23" width="8.85546875" style="21" customWidth="1"/>
    <col min="24" max="24" width="10.42578125" style="21" customWidth="1"/>
    <col min="25" max="25" width="9.85546875" style="21" bestFit="1" customWidth="1"/>
    <col min="26" max="26" width="10.42578125" style="51" customWidth="1"/>
    <col min="27" max="27" width="9.42578125" style="21" customWidth="1"/>
    <col min="28" max="28" width="10.140625" style="21" customWidth="1"/>
    <col min="29" max="31" width="10.1406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78</v>
      </c>
      <c r="C1" s="57"/>
    </row>
    <row r="2" spans="2:69">
      <c r="AB2" s="23"/>
      <c r="AC2" s="142"/>
      <c r="AD2" s="142"/>
      <c r="AE2" s="142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66">
        <f>VLOOKUP(B6,'[1]Japan '!$B$4:$D$10,2,FALSE)</f>
        <v>342477</v>
      </c>
      <c r="D6" s="185">
        <v>301195</v>
      </c>
      <c r="E6" s="2">
        <v>324546</v>
      </c>
      <c r="F6" s="198">
        <f>(E6-D6)/D6</f>
        <v>7.7527847407825493E-2</v>
      </c>
      <c r="G6" s="266">
        <v>401376</v>
      </c>
      <c r="H6" s="185">
        <v>362052</v>
      </c>
      <c r="I6" s="2">
        <v>361891</v>
      </c>
      <c r="J6" s="198">
        <f>(I6-H6)/H6</f>
        <v>-4.4468750345254271E-4</v>
      </c>
      <c r="K6" s="280">
        <v>532506</v>
      </c>
      <c r="L6" s="189">
        <v>485207</v>
      </c>
      <c r="M6" s="221">
        <v>510386</v>
      </c>
      <c r="N6" s="71">
        <f>SUM(C6,G6,K6)</f>
        <v>1276359</v>
      </c>
      <c r="O6" s="71">
        <f>SUM(D6,H6,L6)</f>
        <v>1148454</v>
      </c>
      <c r="P6" s="71">
        <f>SUM(E6,I6,M6)</f>
        <v>1196823</v>
      </c>
      <c r="Q6" s="222">
        <f>(M6-L6)/L6</f>
        <v>5.1893315636419093E-2</v>
      </c>
      <c r="R6" s="53">
        <v>314950</v>
      </c>
      <c r="S6" s="53">
        <v>219231</v>
      </c>
      <c r="T6" s="2">
        <v>288397</v>
      </c>
      <c r="U6" s="49">
        <f>(T6-S6)/S6</f>
        <v>0.31549370298908458</v>
      </c>
      <c r="V6" s="53">
        <v>327418</v>
      </c>
      <c r="W6" s="53">
        <v>174404</v>
      </c>
      <c r="X6" s="2">
        <v>261522</v>
      </c>
      <c r="Y6" s="49">
        <f>(X6-W6)/W6</f>
        <v>0.49951835967064978</v>
      </c>
      <c r="Z6" s="53">
        <v>366975</v>
      </c>
      <c r="AA6" s="53">
        <v>283893</v>
      </c>
      <c r="AB6" s="53">
        <v>296623</v>
      </c>
      <c r="AC6" s="53">
        <f>SUM(R6,V6,Z6)</f>
        <v>1009343</v>
      </c>
      <c r="AD6" s="53">
        <f t="shared" ref="AD6:AE10" si="0">SUM(S6,W6,AA6)</f>
        <v>677528</v>
      </c>
      <c r="AE6" s="53">
        <f t="shared" si="0"/>
        <v>846542</v>
      </c>
      <c r="AF6" s="49">
        <f>(AB6-AA6)/AA6</f>
        <v>4.4840837921329514E-2</v>
      </c>
      <c r="AG6" s="49"/>
      <c r="AH6" s="2"/>
      <c r="AI6" s="53"/>
      <c r="AJ6" s="49"/>
      <c r="AK6" s="49"/>
      <c r="AL6" s="2"/>
      <c r="AM6" s="53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SUM(C6,G6,K6,R6,V6,Z6,AG6,AK6,AO6,AV6,AZ6,BD6)</f>
        <v>2285702</v>
      </c>
      <c r="BL6" s="3">
        <f>SUM(D6,H6,L6,S6,W6,AA6,AH6,AL6,AP6,AW6,BA6,BE6)</f>
        <v>1825982</v>
      </c>
      <c r="BM6" s="3">
        <f>SUM(E6,I6,M6,T6,X6,AB6,AI6,AM6,AQ6,AX6,BB6,BF6)</f>
        <v>2043365</v>
      </c>
      <c r="BN6" s="13">
        <f>(BM6-BL6)/BL6</f>
        <v>0.1190499139641026</v>
      </c>
    </row>
    <row r="7" spans="2:69">
      <c r="B7" s="248" t="s">
        <v>3</v>
      </c>
      <c r="C7" s="266">
        <f>VLOOKUP(B7,'[1]Japan '!$B$4:$D$10,2,FALSE)</f>
        <v>52826</v>
      </c>
      <c r="D7" s="189">
        <f>17068+30265</f>
        <v>47333</v>
      </c>
      <c r="E7" s="47">
        <v>48637</v>
      </c>
      <c r="F7" s="198">
        <f>(E7-D7)/D7</f>
        <v>2.7549489785139332E-2</v>
      </c>
      <c r="G7" s="280">
        <v>61896</v>
      </c>
      <c r="H7" s="185">
        <v>53272</v>
      </c>
      <c r="I7" s="2">
        <v>55800</v>
      </c>
      <c r="J7" s="198">
        <f t="shared" ref="J7:J10" si="1">(I7-H7)/H7</f>
        <v>4.7454572758672472E-2</v>
      </c>
      <c r="K7" s="280">
        <v>81851</v>
      </c>
      <c r="L7" s="185">
        <v>72074</v>
      </c>
      <c r="M7" s="216">
        <v>78576</v>
      </c>
      <c r="N7" s="71">
        <f t="shared" ref="N7:N9" si="2">SUM(C7,G7,K7)</f>
        <v>196573</v>
      </c>
      <c r="O7" s="71">
        <f t="shared" ref="O7:O9" si="3">SUM(D7,H7,L7)</f>
        <v>172679</v>
      </c>
      <c r="P7" s="71">
        <f t="shared" ref="P7:P9" si="4">SUM(E7,I7,M7)</f>
        <v>183013</v>
      </c>
      <c r="Q7" s="222">
        <f t="shared" ref="Q7:Q10" si="5">(M7-L7)/L7</f>
        <v>9.0212836806615418E-2</v>
      </c>
      <c r="R7" s="53">
        <v>50875</v>
      </c>
      <c r="S7" s="53">
        <f>16253+23698</f>
        <v>39951</v>
      </c>
      <c r="T7" s="23">
        <v>50639</v>
      </c>
      <c r="U7" s="49">
        <f t="shared" ref="U7:U10" si="6">(T7-S7)/S7</f>
        <v>0.267527721458787</v>
      </c>
      <c r="V7" s="53">
        <v>54689</v>
      </c>
      <c r="W7" s="53">
        <f>14242+19684</f>
        <v>33926</v>
      </c>
      <c r="X7" s="2">
        <v>46122</v>
      </c>
      <c r="Y7" s="49">
        <f t="shared" ref="Y7:Y10" si="7">(X7-W7)/W7</f>
        <v>0.3594882980604846</v>
      </c>
      <c r="Z7" s="53">
        <f>24058+41254</f>
        <v>65312</v>
      </c>
      <c r="AA7" s="53">
        <f>19314+30750</f>
        <v>50064</v>
      </c>
      <c r="AB7" s="53">
        <v>53703</v>
      </c>
      <c r="AC7" s="53">
        <f t="shared" ref="AC7:AC10" si="8">SUM(R7,V7,Z7)</f>
        <v>170876</v>
      </c>
      <c r="AD7" s="53">
        <f t="shared" si="0"/>
        <v>123941</v>
      </c>
      <c r="AE7" s="53">
        <f t="shared" si="0"/>
        <v>150464</v>
      </c>
      <c r="AF7" s="49">
        <f t="shared" ref="AF7:AF10" si="9">(AB7-AA7)/AA7</f>
        <v>7.2686960690316396E-2</v>
      </c>
      <c r="AG7" s="49"/>
      <c r="AH7" s="2"/>
      <c r="AI7" s="53"/>
      <c r="AJ7" s="49"/>
      <c r="AK7" s="49"/>
      <c r="AL7" s="2"/>
      <c r="AM7" s="53"/>
      <c r="AN7" s="49"/>
      <c r="AO7" s="49"/>
      <c r="AP7" s="2"/>
      <c r="AQ7" s="10"/>
      <c r="AR7" s="52"/>
      <c r="AS7" s="52"/>
      <c r="AT7" s="52"/>
      <c r="AU7" s="49"/>
      <c r="AV7" s="49"/>
      <c r="AW7" s="2"/>
      <c r="AX7" s="53"/>
      <c r="AY7" s="49"/>
      <c r="AZ7" s="49"/>
      <c r="BA7" s="2"/>
      <c r="BB7" s="53"/>
      <c r="BC7" s="49"/>
      <c r="BD7" s="49"/>
      <c r="BE7" s="4"/>
      <c r="BF7" s="53"/>
      <c r="BG7" s="53"/>
      <c r="BH7" s="53"/>
      <c r="BI7" s="53"/>
      <c r="BJ7" s="49"/>
      <c r="BK7" s="3">
        <f t="shared" ref="BK7:BK10" si="10">SUM(C7,G7,K7,R7,V7,Z7,AG7,AK7,AO7,AV7,AZ7,BD7)</f>
        <v>367449</v>
      </c>
      <c r="BL7" s="3">
        <f t="shared" ref="BL7:BL9" si="11">SUM(D7,H7,L7,S7,W7,AA7,AH7,AL7,AP7,AW7,BA7,BE7)</f>
        <v>296620</v>
      </c>
      <c r="BM7" s="3">
        <f t="shared" ref="BM7:BM9" si="12">SUM(E7,I7,M7,T7,X7,AB7,AI7,AM7,AQ7,AX7,BB7,BF7)</f>
        <v>333477</v>
      </c>
      <c r="BN7" s="13">
        <f>(BM7-BL7)/BL7</f>
        <v>0.12425662463758344</v>
      </c>
    </row>
    <row r="8" spans="2:69">
      <c r="B8" s="248" t="s">
        <v>4</v>
      </c>
      <c r="C8" s="266">
        <f>VLOOKUP(B8,'[1]Japan '!$B$4:$D$10,2,FALSE)</f>
        <v>11819</v>
      </c>
      <c r="D8" s="185">
        <v>10813</v>
      </c>
      <c r="E8" s="2">
        <v>10843</v>
      </c>
      <c r="F8" s="198">
        <f>(E8-D8)/D8</f>
        <v>2.7744381762693053E-3</v>
      </c>
      <c r="G8" s="280">
        <v>14992</v>
      </c>
      <c r="H8" s="185">
        <v>13677</v>
      </c>
      <c r="I8" s="2">
        <v>13901</v>
      </c>
      <c r="J8" s="198">
        <f t="shared" si="1"/>
        <v>1.6377860641953644E-2</v>
      </c>
      <c r="K8" s="280">
        <v>23989</v>
      </c>
      <c r="L8" s="185">
        <v>21993</v>
      </c>
      <c r="M8" s="216">
        <v>22511</v>
      </c>
      <c r="N8" s="71">
        <f t="shared" si="2"/>
        <v>50800</v>
      </c>
      <c r="O8" s="71">
        <f t="shared" si="3"/>
        <v>46483</v>
      </c>
      <c r="P8" s="71">
        <f t="shared" si="4"/>
        <v>47255</v>
      </c>
      <c r="Q8" s="222">
        <f t="shared" si="5"/>
        <v>2.3552948665484474E-2</v>
      </c>
      <c r="R8" s="53">
        <v>11876</v>
      </c>
      <c r="S8" s="53">
        <v>10438</v>
      </c>
      <c r="T8" s="2">
        <v>10410</v>
      </c>
      <c r="U8" s="49">
        <f t="shared" si="6"/>
        <v>-2.682506227246599E-3</v>
      </c>
      <c r="V8" s="53">
        <v>13176</v>
      </c>
      <c r="W8" s="53">
        <v>9544</v>
      </c>
      <c r="X8" s="2">
        <v>11317</v>
      </c>
      <c r="Y8" s="49">
        <f t="shared" si="7"/>
        <v>0.18577116512992456</v>
      </c>
      <c r="Z8" s="53">
        <v>17052</v>
      </c>
      <c r="AA8" s="53">
        <v>12864</v>
      </c>
      <c r="AB8" s="53">
        <v>14817</v>
      </c>
      <c r="AC8" s="53">
        <f t="shared" si="8"/>
        <v>42104</v>
      </c>
      <c r="AD8" s="53">
        <f t="shared" si="0"/>
        <v>32846</v>
      </c>
      <c r="AE8" s="53">
        <f t="shared" si="0"/>
        <v>36544</v>
      </c>
      <c r="AF8" s="49">
        <f t="shared" si="9"/>
        <v>0.15181902985074627</v>
      </c>
      <c r="AG8" s="49"/>
      <c r="AH8" s="2"/>
      <c r="AI8" s="53"/>
      <c r="AJ8" s="49"/>
      <c r="AK8" s="49"/>
      <c r="AL8" s="2"/>
      <c r="AM8" s="53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3">
        <f t="shared" si="10"/>
        <v>92904</v>
      </c>
      <c r="BL8" s="3">
        <f t="shared" si="11"/>
        <v>79329</v>
      </c>
      <c r="BM8" s="3">
        <f t="shared" si="12"/>
        <v>83799</v>
      </c>
      <c r="BN8" s="13">
        <f>(BM8-BL8)/BL8</f>
        <v>5.6347615626063607E-2</v>
      </c>
    </row>
    <row r="9" spans="2:69">
      <c r="B9" s="248" t="s">
        <v>5</v>
      </c>
      <c r="C9" s="266">
        <f>VLOOKUP(B9,'[1]Japan '!$B$4:$D$10,2,FALSE)</f>
        <v>853</v>
      </c>
      <c r="D9" s="185">
        <v>762</v>
      </c>
      <c r="E9" s="2">
        <v>416</v>
      </c>
      <c r="F9" s="198">
        <f>(E9-D9)/D9</f>
        <v>-0.45406824146981628</v>
      </c>
      <c r="G9" s="280">
        <v>1163</v>
      </c>
      <c r="H9" s="185">
        <v>1184</v>
      </c>
      <c r="I9" s="2">
        <v>706</v>
      </c>
      <c r="J9" s="198">
        <f t="shared" si="1"/>
        <v>-0.40371621621621623</v>
      </c>
      <c r="K9" s="280">
        <v>2467</v>
      </c>
      <c r="L9" s="185">
        <v>2164</v>
      </c>
      <c r="M9" s="216">
        <v>1530</v>
      </c>
      <c r="N9" s="71">
        <f t="shared" si="2"/>
        <v>4483</v>
      </c>
      <c r="O9" s="71">
        <f t="shared" si="3"/>
        <v>4110</v>
      </c>
      <c r="P9" s="71">
        <f t="shared" si="4"/>
        <v>2652</v>
      </c>
      <c r="Q9" s="222">
        <f t="shared" si="5"/>
        <v>-0.29297597042513862</v>
      </c>
      <c r="R9" s="53">
        <v>986</v>
      </c>
      <c r="S9" s="53">
        <v>773</v>
      </c>
      <c r="T9" s="2">
        <v>448</v>
      </c>
      <c r="U9" s="49">
        <f t="shared" si="6"/>
        <v>-0.4204398447606727</v>
      </c>
      <c r="V9" s="53">
        <v>837</v>
      </c>
      <c r="W9" s="53">
        <v>411</v>
      </c>
      <c r="X9" s="2">
        <v>357</v>
      </c>
      <c r="Y9" s="49">
        <f t="shared" si="7"/>
        <v>-0.13138686131386862</v>
      </c>
      <c r="Z9" s="52">
        <v>1059</v>
      </c>
      <c r="AA9" s="52">
        <v>551</v>
      </c>
      <c r="AB9" s="10">
        <v>488</v>
      </c>
      <c r="AC9" s="53">
        <f t="shared" si="8"/>
        <v>2882</v>
      </c>
      <c r="AD9" s="53">
        <f t="shared" si="0"/>
        <v>1735</v>
      </c>
      <c r="AE9" s="53">
        <f t="shared" si="0"/>
        <v>1293</v>
      </c>
      <c r="AF9" s="49">
        <f t="shared" si="9"/>
        <v>-0.11433756805807622</v>
      </c>
      <c r="AG9" s="49"/>
      <c r="AH9" s="2"/>
      <c r="AI9" s="53"/>
      <c r="AJ9" s="49"/>
      <c r="AK9" s="49"/>
      <c r="AL9" s="2"/>
      <c r="AM9" s="10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4"/>
      <c r="BF9" s="53"/>
      <c r="BG9" s="53"/>
      <c r="BH9" s="53"/>
      <c r="BI9" s="53"/>
      <c r="BJ9" s="49"/>
      <c r="BK9" s="3">
        <f t="shared" si="10"/>
        <v>7365</v>
      </c>
      <c r="BL9" s="3">
        <f t="shared" si="11"/>
        <v>5845</v>
      </c>
      <c r="BM9" s="3">
        <f t="shared" si="12"/>
        <v>3945</v>
      </c>
      <c r="BN9" s="13">
        <f>(BM9-BL9)/BL9</f>
        <v>-0.32506415739948674</v>
      </c>
    </row>
    <row r="10" spans="2:69" s="9" customFormat="1">
      <c r="B10" s="249" t="s">
        <v>7</v>
      </c>
      <c r="C10" s="187">
        <f>SUM(C6:C9)</f>
        <v>407975</v>
      </c>
      <c r="D10" s="187">
        <f>SUM(D6:D9)</f>
        <v>360103</v>
      </c>
      <c r="E10" s="3">
        <f>SUM(E6:E9)</f>
        <v>384442</v>
      </c>
      <c r="F10" s="50">
        <f>(E10-D10)/D10</f>
        <v>6.7588995370768915E-2</v>
      </c>
      <c r="G10" s="3">
        <f>SUM(G6:G9)</f>
        <v>479427</v>
      </c>
      <c r="H10" s="3">
        <f>SUM(H6:H9)</f>
        <v>430185</v>
      </c>
      <c r="I10" s="3">
        <f>SUM(I6:I9)</f>
        <v>432298</v>
      </c>
      <c r="J10" s="199">
        <f t="shared" si="1"/>
        <v>4.9118402547741087E-3</v>
      </c>
      <c r="K10" s="80">
        <f>SUM(K6:K9)</f>
        <v>640813</v>
      </c>
      <c r="L10" s="80">
        <f>SUM(L6:L9)</f>
        <v>581438</v>
      </c>
      <c r="M10" s="3">
        <f>SUM(M6:M9)</f>
        <v>613003</v>
      </c>
      <c r="N10" s="227">
        <f>SUM(N6:N9)</f>
        <v>1528215</v>
      </c>
      <c r="O10" s="227">
        <f t="shared" ref="O10:P10" si="13">SUM(O6:O9)</f>
        <v>1371726</v>
      </c>
      <c r="P10" s="227">
        <f t="shared" si="13"/>
        <v>1429743</v>
      </c>
      <c r="Q10" s="223">
        <f t="shared" si="5"/>
        <v>5.4287817445712185E-2</v>
      </c>
      <c r="R10" s="332">
        <f>SUM(R6:R9)</f>
        <v>378687</v>
      </c>
      <c r="S10" s="332">
        <f>SUM(S6:S9)</f>
        <v>270393</v>
      </c>
      <c r="T10" s="332">
        <f>SUM(T6:T9)</f>
        <v>349894</v>
      </c>
      <c r="U10" s="50">
        <f t="shared" si="6"/>
        <v>0.29402018543379449</v>
      </c>
      <c r="V10" s="289">
        <f>SUM(V6:V9)</f>
        <v>396120</v>
      </c>
      <c r="W10" s="289">
        <f>SUM(W6:W9)</f>
        <v>218285</v>
      </c>
      <c r="X10" s="289">
        <f>SUM(X6:X9)</f>
        <v>319318</v>
      </c>
      <c r="Y10" s="50">
        <f t="shared" si="7"/>
        <v>0.46284902764734176</v>
      </c>
      <c r="Z10" s="289">
        <f>SUM(Z6:Z9)</f>
        <v>450398</v>
      </c>
      <c r="AA10" s="289">
        <f>SUM(AA6:AA9)</f>
        <v>347372</v>
      </c>
      <c r="AB10" s="3">
        <f>SUM(AB6:AB9)</f>
        <v>365631</v>
      </c>
      <c r="AC10" s="145">
        <f t="shared" si="8"/>
        <v>1225205</v>
      </c>
      <c r="AD10" s="145">
        <f t="shared" si="0"/>
        <v>836050</v>
      </c>
      <c r="AE10" s="145">
        <f t="shared" si="0"/>
        <v>1034843</v>
      </c>
      <c r="AF10" s="50">
        <f t="shared" si="9"/>
        <v>5.2563246318068239E-2</v>
      </c>
      <c r="AG10" s="50"/>
      <c r="AH10" s="3"/>
      <c r="AI10" s="3"/>
      <c r="AJ10" s="50"/>
      <c r="AK10" s="50"/>
      <c r="AL10" s="3"/>
      <c r="AM10" s="3"/>
      <c r="AN10" s="50"/>
      <c r="AO10" s="50"/>
      <c r="AP10" s="227"/>
      <c r="AQ10" s="3"/>
      <c r="AR10" s="145"/>
      <c r="AS10" s="145"/>
      <c r="AT10" s="145"/>
      <c r="AU10" s="50"/>
      <c r="AV10" s="50"/>
      <c r="AW10" s="227"/>
      <c r="AX10" s="3"/>
      <c r="AY10" s="50"/>
      <c r="AZ10" s="50"/>
      <c r="BA10" s="227"/>
      <c r="BB10" s="3"/>
      <c r="BC10" s="50"/>
      <c r="BD10" s="50"/>
      <c r="BE10" s="3"/>
      <c r="BF10" s="3"/>
      <c r="BG10" s="145"/>
      <c r="BH10" s="145"/>
      <c r="BI10" s="145"/>
      <c r="BJ10" s="50"/>
      <c r="BK10" s="3">
        <f t="shared" si="10"/>
        <v>2753420</v>
      </c>
      <c r="BL10" s="3">
        <f>SUM(D10,H10,L10,S10,W10,AA10,AH10,AL10,AP10,AW10,BA10,BE10)</f>
        <v>2207776</v>
      </c>
      <c r="BM10" s="3">
        <f>SUM(E10,I10,M10,T10,X10,AB10,AI10,AM10,AQ10,AX10,BB10,BF10)</f>
        <v>2464586</v>
      </c>
      <c r="BN10" s="14">
        <f>(BM10-BL10)/BL10</f>
        <v>0.11632067746003218</v>
      </c>
      <c r="BP10" s="21"/>
      <c r="BQ10" s="20"/>
    </row>
    <row r="12" spans="2:69">
      <c r="B12" s="28" t="s">
        <v>81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AP12" s="64"/>
      <c r="AQ12" s="64"/>
      <c r="AR12" s="142"/>
      <c r="AS12" s="142"/>
      <c r="AT12" s="142"/>
      <c r="AU12" s="64"/>
      <c r="AV12" s="142"/>
      <c r="AW12" s="64"/>
    </row>
    <row r="13" spans="2:69">
      <c r="B13" s="67" t="s">
        <v>82</v>
      </c>
      <c r="C13" s="6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AJ13" s="22"/>
      <c r="AK13" s="63"/>
      <c r="AL13" s="22"/>
      <c r="AM13" s="22"/>
      <c r="AN13" s="22"/>
      <c r="AO13" s="63"/>
      <c r="AP13" s="51"/>
      <c r="AQ13" s="63"/>
      <c r="AR13" s="63"/>
      <c r="AS13" s="63"/>
      <c r="AT13" s="63"/>
      <c r="AU13" s="51"/>
      <c r="AW13" s="51"/>
      <c r="AX13" s="22"/>
      <c r="AY13" s="22"/>
      <c r="AZ13" s="63"/>
      <c r="BA13" s="22"/>
      <c r="BB13" s="22"/>
      <c r="BC13" s="22"/>
      <c r="BD13" s="63"/>
      <c r="BL13" s="142"/>
      <c r="BM13" s="142"/>
    </row>
    <row r="14" spans="2:69">
      <c r="B14" s="26"/>
      <c r="C14" s="26"/>
      <c r="D14" s="27"/>
      <c r="E14" s="27"/>
      <c r="F14" s="27"/>
      <c r="G14" s="27"/>
      <c r="H14" s="27"/>
      <c r="I14" s="2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AJ14" s="23"/>
      <c r="AK14" s="142"/>
      <c r="AL14" s="23"/>
      <c r="AM14" s="23"/>
      <c r="AN14" s="23"/>
      <c r="AO14" s="142"/>
      <c r="AP14" s="64"/>
      <c r="AQ14" s="64"/>
      <c r="AR14" s="142"/>
      <c r="AS14" s="142"/>
      <c r="AT14" s="142"/>
      <c r="AU14" s="64"/>
      <c r="AV14" s="142"/>
      <c r="AW14" s="64"/>
      <c r="AX14" s="23"/>
      <c r="AY14" s="23"/>
      <c r="AZ14" s="142"/>
      <c r="BA14" s="23"/>
      <c r="BB14" s="23"/>
      <c r="BC14" s="23"/>
      <c r="BD14" s="142"/>
    </row>
    <row r="15" spans="2:69">
      <c r="B15" s="386" t="s">
        <v>83</v>
      </c>
      <c r="C15" s="386"/>
      <c r="D15" s="386"/>
      <c r="E15" s="23"/>
      <c r="F15" s="23"/>
      <c r="G15" s="142"/>
      <c r="H15" s="23"/>
      <c r="I15" s="23"/>
      <c r="AJ15" s="23"/>
      <c r="AK15" s="142"/>
      <c r="AL15" s="23"/>
      <c r="AM15" s="23"/>
      <c r="AN15" s="23"/>
      <c r="AO15" s="142"/>
      <c r="AP15" s="51"/>
      <c r="AQ15" s="64"/>
      <c r="AR15" s="142"/>
      <c r="AS15" s="142"/>
      <c r="AT15" s="142"/>
      <c r="BB15" s="23"/>
      <c r="BC15" s="23"/>
      <c r="BD15" s="142"/>
    </row>
    <row r="16" spans="2:69">
      <c r="B16" s="386" t="s">
        <v>84</v>
      </c>
      <c r="C16" s="386"/>
      <c r="D16" s="386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51"/>
      <c r="AQ16" s="63"/>
      <c r="AR16" s="63"/>
      <c r="AS16" s="63"/>
      <c r="AT16" s="63"/>
      <c r="BB16" s="23"/>
      <c r="BC16" s="23"/>
      <c r="BD16" s="142"/>
    </row>
    <row r="17" spans="4:9">
      <c r="D17" s="23"/>
      <c r="E17" s="23"/>
      <c r="F17" s="23"/>
      <c r="G17" s="142"/>
      <c r="H17" s="23"/>
      <c r="I17" s="23"/>
    </row>
  </sheetData>
  <mergeCells count="20">
    <mergeCell ref="AV4:AX4"/>
    <mergeCell ref="AZ4:BB4"/>
    <mergeCell ref="BD4:BF4"/>
    <mergeCell ref="BK4:BM4"/>
    <mergeCell ref="B15:D15"/>
    <mergeCell ref="B16:D16"/>
    <mergeCell ref="BN4:BN5"/>
    <mergeCell ref="C4:E4"/>
    <mergeCell ref="G4:I4"/>
    <mergeCell ref="K4:M4"/>
    <mergeCell ref="N4:P4"/>
    <mergeCell ref="R4:T4"/>
    <mergeCell ref="V4:X4"/>
    <mergeCell ref="Z4:AB4"/>
    <mergeCell ref="AC4:AE4"/>
    <mergeCell ref="AG4:AI4"/>
    <mergeCell ref="AK4:AM4"/>
    <mergeCell ref="BG4:BI4"/>
    <mergeCell ref="AO4:AQ4"/>
    <mergeCell ref="AR4:AT4"/>
  </mergeCells>
  <hyperlinks>
    <hyperlink ref="B13" r:id="rId1" xr:uid="{A4A9C613-1058-45D1-911B-B8B557792422}"/>
  </hyperlinks>
  <pageMargins left="0.7" right="0.7" top="0.78740157499999996" bottom="0.78740157499999996" header="0.3" footer="0.3"/>
  <pageSetup paperSize="9" orientation="portrait" r:id="rId2"/>
  <ignoredErrors>
    <ignoredError sqref="D10:E10 G10:I10 K10:M10 R10 V10 T10 X10 AB10" formulaRange="1"/>
    <ignoredError sqref="F10" formula="1" formulaRange="1"/>
    <ignoredError sqref="J10 Q10 U10 Y1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2D95-BCA1-4CC2-B14D-7ED416E3E5F4}">
  <dimension ref="A1:BQ31"/>
  <sheetViews>
    <sheetView topLeftCell="B1" zoomScale="112" zoomScaleNormal="112" workbookViewId="0">
      <pane xSplit="1" topLeftCell="AZ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25.140625" style="21" customWidth="1"/>
    <col min="3" max="3" width="8.28515625" style="51" customWidth="1"/>
    <col min="4" max="4" width="8.85546875" style="21" customWidth="1"/>
    <col min="5" max="5" width="6.85546875" style="21" customWidth="1"/>
    <col min="6" max="6" width="11.5703125" style="21" customWidth="1"/>
    <col min="7" max="7" width="9.2851562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8.71093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8.5703125" style="21" customWidth="1"/>
    <col min="20" max="20" width="9.7109375" style="21" customWidth="1"/>
    <col min="21" max="21" width="12.140625" style="21" customWidth="1"/>
    <col min="22" max="22" width="8.42578125" style="51" customWidth="1"/>
    <col min="23" max="23" width="9.85546875" style="21" customWidth="1"/>
    <col min="24" max="24" width="10.42578125" style="21" customWidth="1"/>
    <col min="25" max="25" width="10.140625" style="21" bestFit="1" customWidth="1"/>
    <col min="26" max="26" width="9" style="51" customWidth="1"/>
    <col min="27" max="27" width="9.85546875" style="21" customWidth="1"/>
    <col min="28" max="28" width="11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42" t="s">
        <v>60</v>
      </c>
      <c r="C1" s="42"/>
    </row>
    <row r="2" spans="2:69"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121</v>
      </c>
      <c r="C6" s="53">
        <v>7951</v>
      </c>
      <c r="D6" s="185">
        <v>3821</v>
      </c>
      <c r="E6" s="31">
        <v>8393</v>
      </c>
      <c r="F6" s="198">
        <f>(E6-D6)/D6</f>
        <v>1.1965454069615284</v>
      </c>
      <c r="G6" s="53">
        <v>4502</v>
      </c>
      <c r="H6" s="53">
        <v>5693</v>
      </c>
      <c r="I6" s="31">
        <v>7253</v>
      </c>
      <c r="J6" s="198">
        <f>(I6-H6)/H6</f>
        <v>0.27402072720885295</v>
      </c>
      <c r="K6" s="53">
        <v>4976</v>
      </c>
      <c r="L6" s="53">
        <v>7409</v>
      </c>
      <c r="M6" s="216">
        <v>7539</v>
      </c>
      <c r="N6" s="53">
        <f>SUM(C6,G6,K6)</f>
        <v>17429</v>
      </c>
      <c r="O6" s="53">
        <f>SUM(D6,H6,L6)</f>
        <v>16923</v>
      </c>
      <c r="P6" s="53">
        <f>SUM(E6,I6,M6)</f>
        <v>23185</v>
      </c>
      <c r="Q6" s="222">
        <f>(M6-L6)/L6</f>
        <v>1.7546227561074369E-2</v>
      </c>
      <c r="R6" s="53">
        <v>5864</v>
      </c>
      <c r="S6" s="53">
        <v>1310</v>
      </c>
      <c r="T6" s="53">
        <v>9195</v>
      </c>
      <c r="U6" s="49">
        <f>(T6-S6)/S6</f>
        <v>6.0190839694656493</v>
      </c>
      <c r="V6" s="53">
        <v>6399</v>
      </c>
      <c r="W6" s="53">
        <v>7621</v>
      </c>
      <c r="X6" s="31">
        <v>9402</v>
      </c>
      <c r="Y6" s="49">
        <f>(X6-W6)/W6</f>
        <v>0.23369636530639024</v>
      </c>
      <c r="Z6" s="53">
        <v>6453</v>
      </c>
      <c r="AA6" s="53">
        <v>10715</v>
      </c>
      <c r="AB6" s="31">
        <v>11099</v>
      </c>
      <c r="AC6" s="53">
        <f>SUM(R6,V6,Z6)</f>
        <v>18716</v>
      </c>
      <c r="AD6" s="53">
        <f t="shared" ref="AD6:AE8" si="0">SUM(S6,W6,AA6)</f>
        <v>19646</v>
      </c>
      <c r="AE6" s="53">
        <f t="shared" si="0"/>
        <v>29696</v>
      </c>
      <c r="AF6" s="49">
        <f>(AB6-AA6)/AA6</f>
        <v>3.5837610825944936E-2</v>
      </c>
      <c r="AG6" s="49"/>
      <c r="AH6" s="31"/>
      <c r="AI6" s="53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10"/>
      <c r="BG6" s="52"/>
      <c r="BH6" s="52"/>
      <c r="BI6" s="52"/>
      <c r="BJ6" s="49"/>
      <c r="BK6" s="145">
        <f>SUM(C6,G6,K6,R6,V6,Z6,AG6,AK6,AO6,AV6,AZ6,BD6)</f>
        <v>36145</v>
      </c>
      <c r="BL6" s="54">
        <f>SUM(D6,H6,L6,S6,W6,AA6,AH6,AL6,AP6,AW6,BA6,BE6)</f>
        <v>36569</v>
      </c>
      <c r="BM6" s="145">
        <f>SUM(E6,I6,M6,T6,X6,AB6,AI6,AM6,AQ6,AX6,BB6,BF6)</f>
        <v>52881</v>
      </c>
      <c r="BN6" s="59">
        <f>(BM6-BL6)/BL6</f>
        <v>0.44606087122973009</v>
      </c>
    </row>
    <row r="7" spans="2:69">
      <c r="B7" s="248" t="s">
        <v>5</v>
      </c>
      <c r="C7" s="53">
        <v>11</v>
      </c>
      <c r="D7" s="185">
        <v>15</v>
      </c>
      <c r="E7" s="31">
        <v>34</v>
      </c>
      <c r="F7" s="198">
        <f>(E7-D7)/D7</f>
        <v>1.2666666666666666</v>
      </c>
      <c r="G7" s="53">
        <v>1</v>
      </c>
      <c r="H7" s="53">
        <v>3</v>
      </c>
      <c r="I7" s="31">
        <v>233</v>
      </c>
      <c r="J7" s="198">
        <f t="shared" ref="J7:J8" si="1">(I7-H7)/H7</f>
        <v>76.666666666666671</v>
      </c>
      <c r="K7" s="53">
        <v>78</v>
      </c>
      <c r="L7" s="53">
        <v>35</v>
      </c>
      <c r="M7" s="216">
        <v>823</v>
      </c>
      <c r="N7" s="53">
        <f t="shared" ref="N7:N8" si="2">SUM(C7,G7,K7)</f>
        <v>90</v>
      </c>
      <c r="O7" s="53">
        <f t="shared" ref="O7:O8" si="3">SUM(D7,H7,L7)</f>
        <v>53</v>
      </c>
      <c r="P7" s="53">
        <f t="shared" ref="P7:P8" si="4">SUM(E7,I7,M7)</f>
        <v>1090</v>
      </c>
      <c r="Q7" s="222">
        <f t="shared" ref="Q7:Q8" si="5">(M7-L7)/L7</f>
        <v>22.514285714285716</v>
      </c>
      <c r="R7" s="53">
        <v>3</v>
      </c>
      <c r="S7" s="53">
        <v>50</v>
      </c>
      <c r="T7" s="53">
        <v>843</v>
      </c>
      <c r="U7" s="49">
        <f t="shared" ref="U7:U8" si="6">(T7-S7)/S7</f>
        <v>15.86</v>
      </c>
      <c r="V7" s="53">
        <v>100</v>
      </c>
      <c r="W7" s="53">
        <v>22</v>
      </c>
      <c r="X7" s="31">
        <v>695</v>
      </c>
      <c r="Y7" s="49">
        <f t="shared" ref="Y7:Y8" si="7">(X7-W7)/W7</f>
        <v>30.59090909090909</v>
      </c>
      <c r="Z7" s="52">
        <v>97</v>
      </c>
      <c r="AA7" s="52">
        <v>56</v>
      </c>
      <c r="AB7" s="10">
        <v>926</v>
      </c>
      <c r="AC7" s="53">
        <f t="shared" ref="AC7:AC8" si="8">SUM(R7,V7,Z7)</f>
        <v>200</v>
      </c>
      <c r="AD7" s="53">
        <f t="shared" si="0"/>
        <v>128</v>
      </c>
      <c r="AE7" s="53">
        <f t="shared" si="0"/>
        <v>2464</v>
      </c>
      <c r="AF7" s="49">
        <f t="shared" ref="AF7:AF8" si="9">(AB7-AA7)/AA7</f>
        <v>15.535714285714286</v>
      </c>
      <c r="AG7" s="49"/>
      <c r="AH7" s="10"/>
      <c r="AI7" s="10"/>
      <c r="AJ7" s="49"/>
      <c r="AK7" s="49"/>
      <c r="AL7" s="31"/>
      <c r="AM7" s="10"/>
      <c r="AN7" s="49"/>
      <c r="AO7" s="49"/>
      <c r="AP7" s="23"/>
      <c r="AQ7" s="10"/>
      <c r="AR7" s="52"/>
      <c r="AS7" s="52"/>
      <c r="AT7" s="52"/>
      <c r="AU7" s="49"/>
      <c r="AV7" s="49"/>
      <c r="AW7" s="53"/>
      <c r="AX7" s="52"/>
      <c r="AY7" s="49"/>
      <c r="AZ7" s="49"/>
      <c r="BA7" s="53"/>
      <c r="BB7" s="10"/>
      <c r="BC7" s="49"/>
      <c r="BD7" s="49"/>
      <c r="BE7" s="35"/>
      <c r="BF7" s="10"/>
      <c r="BG7" s="52"/>
      <c r="BH7" s="52"/>
      <c r="BI7" s="52"/>
      <c r="BJ7" s="49"/>
      <c r="BK7" s="145">
        <f t="shared" ref="BK7:BK8" si="10">SUM(C7,G7,K7,R7,V7,Z7,AG7,AK7,AO7,AV7,AZ7,BD7)</f>
        <v>290</v>
      </c>
      <c r="BL7" s="145">
        <f t="shared" ref="BL7:BL8" si="11">SUM(D7,H7,L7,S7,W7,AA7,AH7,AL7,AP7,AW7,BA7,BE7)</f>
        <v>181</v>
      </c>
      <c r="BM7" s="145">
        <f t="shared" ref="BM7:BM8" si="12">SUM(E7,I7,M7,T7,X7,AB7,AI7,AM7,AQ7,AX7,BB7,BF7)</f>
        <v>3554</v>
      </c>
      <c r="BN7" s="59">
        <f>(BM7-BL7)/BL7</f>
        <v>18.635359116022098</v>
      </c>
    </row>
    <row r="8" spans="2:69" s="9" customFormat="1">
      <c r="B8" s="249" t="s">
        <v>7</v>
      </c>
      <c r="C8" s="145">
        <f>SUM(C6:C7)</f>
        <v>7962</v>
      </c>
      <c r="D8" s="187">
        <f>SUM(D6:D7)</f>
        <v>3836</v>
      </c>
      <c r="E8" s="15">
        <f>SUM(E6:E7)</f>
        <v>8427</v>
      </c>
      <c r="F8" s="207">
        <f>(E8-D8)/D8</f>
        <v>1.1968196037539103</v>
      </c>
      <c r="G8" s="289">
        <f>SUM(G6:G7)</f>
        <v>4503</v>
      </c>
      <c r="H8" s="289">
        <f>SUM(H6:H7)</f>
        <v>5696</v>
      </c>
      <c r="I8" s="145">
        <f>SUM(I6:I7)</f>
        <v>7486</v>
      </c>
      <c r="J8" s="199">
        <f t="shared" si="1"/>
        <v>0.3142556179775281</v>
      </c>
      <c r="K8" s="289">
        <f>SUM(K6:K7)</f>
        <v>5054</v>
      </c>
      <c r="L8" s="289">
        <f>SUM(L6:L7)</f>
        <v>7444</v>
      </c>
      <c r="M8" s="215">
        <f>SUM(M6:M7)</f>
        <v>8362</v>
      </c>
      <c r="N8" s="145">
        <f t="shared" si="2"/>
        <v>17519</v>
      </c>
      <c r="O8" s="145">
        <f t="shared" si="3"/>
        <v>16976</v>
      </c>
      <c r="P8" s="145">
        <f t="shared" si="4"/>
        <v>24275</v>
      </c>
      <c r="Q8" s="223">
        <f t="shared" si="5"/>
        <v>0.12332079527135949</v>
      </c>
      <c r="R8" s="145">
        <f>SUM(R6:R7)</f>
        <v>5867</v>
      </c>
      <c r="S8" s="145">
        <f>SUM(S6:S7)</f>
        <v>1360</v>
      </c>
      <c r="T8" s="145">
        <f>SUM(T6:T7)</f>
        <v>10038</v>
      </c>
      <c r="U8" s="50">
        <f t="shared" si="6"/>
        <v>6.3808823529411764</v>
      </c>
      <c r="V8" s="145">
        <f>SUM(V6:V7)</f>
        <v>6499</v>
      </c>
      <c r="W8" s="145">
        <f>SUM(W6:W7)</f>
        <v>7643</v>
      </c>
      <c r="X8" s="145">
        <f>SUM(X6:X7)</f>
        <v>10097</v>
      </c>
      <c r="Y8" s="50">
        <f t="shared" si="7"/>
        <v>0.3210781106895198</v>
      </c>
      <c r="Z8" s="145">
        <f>SUM(Z6:Z7)</f>
        <v>6550</v>
      </c>
      <c r="AA8" s="145">
        <f>SUM(AA6:AA7)</f>
        <v>10771</v>
      </c>
      <c r="AB8" s="145">
        <f>SUM(AB6:AB7)</f>
        <v>12025</v>
      </c>
      <c r="AC8" s="145">
        <f t="shared" si="8"/>
        <v>18916</v>
      </c>
      <c r="AD8" s="145">
        <f t="shared" si="0"/>
        <v>19774</v>
      </c>
      <c r="AE8" s="145">
        <f t="shared" si="0"/>
        <v>32160</v>
      </c>
      <c r="AF8" s="50">
        <f t="shared" si="9"/>
        <v>0.11642373038715068</v>
      </c>
      <c r="AG8" s="50"/>
      <c r="AH8" s="54"/>
      <c r="AI8" s="54"/>
      <c r="AJ8" s="50"/>
      <c r="AK8" s="50"/>
      <c r="AL8" s="54"/>
      <c r="AM8" s="54"/>
      <c r="AN8" s="50"/>
      <c r="AO8" s="50"/>
      <c r="AP8" s="54"/>
      <c r="AQ8" s="54"/>
      <c r="AR8" s="145"/>
      <c r="AS8" s="145"/>
      <c r="AT8" s="145"/>
      <c r="AU8" s="50"/>
      <c r="AV8" s="50"/>
      <c r="AW8" s="54"/>
      <c r="AX8" s="54"/>
      <c r="AY8" s="50"/>
      <c r="AZ8" s="50"/>
      <c r="BA8" s="145"/>
      <c r="BB8" s="145"/>
      <c r="BC8" s="50"/>
      <c r="BD8" s="50"/>
      <c r="BE8" s="145"/>
      <c r="BF8" s="145"/>
      <c r="BG8" s="145"/>
      <c r="BH8" s="145"/>
      <c r="BI8" s="145"/>
      <c r="BJ8" s="50"/>
      <c r="BK8" s="145">
        <f t="shared" si="10"/>
        <v>36435</v>
      </c>
      <c r="BL8" s="145">
        <f t="shared" si="11"/>
        <v>36750</v>
      </c>
      <c r="BM8" s="145">
        <f t="shared" si="12"/>
        <v>56435</v>
      </c>
      <c r="BN8" s="60">
        <f>(BM8-BL8)/BL8</f>
        <v>0.53564625850340131</v>
      </c>
      <c r="BP8" s="21"/>
      <c r="BQ8" s="20"/>
    </row>
    <row r="9" spans="2:69">
      <c r="C9" s="45"/>
      <c r="F9" s="45"/>
      <c r="G9" s="45"/>
      <c r="H9" s="45"/>
      <c r="I9" s="45"/>
      <c r="J9" s="45"/>
      <c r="K9" s="45"/>
      <c r="L9" s="45"/>
      <c r="M9" s="45"/>
      <c r="N9" s="44"/>
      <c r="O9" s="44"/>
      <c r="P9" s="44"/>
      <c r="Q9" s="45"/>
      <c r="AO9" s="63"/>
      <c r="AP9" s="63"/>
      <c r="AQ9" s="63"/>
      <c r="AV9" s="142"/>
      <c r="AW9" s="142"/>
      <c r="AX9" s="142"/>
      <c r="AY9" s="142"/>
      <c r="AZ9" s="142"/>
      <c r="BA9" s="142"/>
      <c r="BB9" s="142"/>
      <c r="BJ9" s="316"/>
      <c r="BL9" s="316"/>
      <c r="BM9" s="316"/>
    </row>
    <row r="10" spans="2:69">
      <c r="B10" s="144" t="s">
        <v>143</v>
      </c>
      <c r="C10" s="267"/>
      <c r="D10" s="132" t="s">
        <v>110</v>
      </c>
      <c r="G10" s="142"/>
      <c r="H10" s="64"/>
      <c r="N10" s="142"/>
      <c r="O10" s="142"/>
      <c r="P10" s="142"/>
      <c r="AV10" s="142"/>
      <c r="AW10" s="142"/>
      <c r="AX10" s="142"/>
      <c r="AY10" s="142"/>
      <c r="AZ10" s="142"/>
      <c r="BA10" s="142"/>
      <c r="BB10" s="142"/>
      <c r="BJ10" s="316"/>
      <c r="BL10" s="316"/>
      <c r="BM10" s="316"/>
    </row>
    <row r="11" spans="2:69" s="51" customFormat="1">
      <c r="B11" s="43"/>
      <c r="C11" s="43"/>
      <c r="D11" s="67"/>
      <c r="BJ11" s="316"/>
      <c r="BK11" s="316"/>
      <c r="BL11" s="316"/>
      <c r="BM11" s="316"/>
    </row>
    <row r="12" spans="2:69" s="51" customFormat="1">
      <c r="B12" s="43"/>
      <c r="C12" s="43"/>
      <c r="D12" s="119"/>
      <c r="E12" s="64"/>
      <c r="BK12" s="316"/>
    </row>
    <row r="13" spans="2:69">
      <c r="D13" s="51"/>
      <c r="E13" s="51"/>
      <c r="F13" s="51"/>
      <c r="H13" s="51"/>
      <c r="I13" s="51"/>
      <c r="J13" s="51"/>
      <c r="L13" s="51"/>
      <c r="M13" s="51"/>
      <c r="Q13" s="51"/>
      <c r="S13" s="51"/>
      <c r="T13" s="51"/>
      <c r="U13" s="51"/>
      <c r="W13" s="51"/>
      <c r="X13" s="51"/>
      <c r="Y13" s="51"/>
      <c r="AA13" s="51"/>
      <c r="AB13" s="51"/>
      <c r="AF13" s="51"/>
      <c r="AH13" s="51"/>
      <c r="AI13" s="51"/>
      <c r="AJ13" s="51"/>
      <c r="AL13" s="51"/>
      <c r="AM13" s="51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M13" s="142"/>
    </row>
    <row r="14" spans="2:69">
      <c r="D14" s="51"/>
      <c r="E14" s="51"/>
      <c r="F14" s="51"/>
      <c r="H14" s="51"/>
      <c r="I14" s="51"/>
      <c r="J14" s="51"/>
      <c r="L14" s="51"/>
      <c r="M14" s="51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51"/>
      <c r="AF14" s="51"/>
      <c r="AH14" s="51"/>
      <c r="AI14" s="51"/>
      <c r="AJ14" s="51"/>
      <c r="AL14" s="51"/>
      <c r="AM14" s="51"/>
      <c r="AN14" s="51"/>
      <c r="AP14" s="51"/>
      <c r="AQ14" s="51"/>
      <c r="AU14" s="51"/>
      <c r="AW14" s="51"/>
      <c r="AX14" s="51"/>
    </row>
    <row r="15" spans="2:69">
      <c r="D15" s="51"/>
      <c r="E15" s="51"/>
      <c r="F15" s="51"/>
      <c r="H15" s="51"/>
      <c r="I15" s="51"/>
      <c r="J15" s="51"/>
      <c r="L15" s="51"/>
      <c r="M15" s="51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51"/>
      <c r="AF15" s="51"/>
      <c r="AH15" s="51"/>
      <c r="AI15" s="51"/>
      <c r="AJ15" s="51"/>
      <c r="AL15" s="51"/>
      <c r="AM15" s="51"/>
      <c r="AN15" s="51"/>
      <c r="AP15" s="51"/>
      <c r="AQ15" s="51"/>
      <c r="AU15" s="51"/>
      <c r="AW15" s="51"/>
      <c r="AX15" s="51"/>
      <c r="AY15" s="23"/>
      <c r="AZ15" s="142"/>
      <c r="BA15" s="23"/>
      <c r="BB15" s="23"/>
      <c r="BC15" s="23"/>
      <c r="BD15" s="142"/>
    </row>
    <row r="16" spans="2:69">
      <c r="D16" s="51"/>
      <c r="E16" s="51"/>
      <c r="F16" s="51"/>
      <c r="H16" s="51"/>
      <c r="I16" s="51"/>
      <c r="J16" s="51"/>
      <c r="L16" s="51"/>
      <c r="M16" s="51"/>
      <c r="Q16" s="142"/>
      <c r="R16" s="142"/>
      <c r="S16" s="316"/>
      <c r="T16" s="316"/>
      <c r="U16" s="142"/>
      <c r="V16" s="142"/>
      <c r="W16" s="316"/>
      <c r="X16" s="316"/>
      <c r="Y16" s="142"/>
      <c r="Z16" s="142"/>
      <c r="AA16" s="316"/>
      <c r="AB16" s="51"/>
      <c r="AF16" s="51"/>
      <c r="AH16" s="51"/>
      <c r="AI16" s="51"/>
      <c r="AJ16" s="51"/>
      <c r="AL16" s="51"/>
      <c r="AM16" s="51"/>
      <c r="AN16" s="51"/>
      <c r="AP16" s="51"/>
      <c r="AQ16" s="51"/>
      <c r="AU16" s="51"/>
      <c r="AW16" s="51"/>
      <c r="AX16" s="51"/>
      <c r="AY16" s="23"/>
      <c r="AZ16" s="142"/>
      <c r="BA16" s="23"/>
      <c r="BB16" s="23"/>
      <c r="BC16" s="23"/>
      <c r="BD16" s="142"/>
    </row>
    <row r="17" spans="4:63">
      <c r="D17" s="51"/>
      <c r="E17" s="51"/>
      <c r="F17" s="51"/>
      <c r="H17" s="51"/>
      <c r="I17" s="51"/>
      <c r="J17" s="51"/>
      <c r="L17" s="51"/>
      <c r="M17" s="51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51"/>
      <c r="AF17" s="51"/>
      <c r="AH17" s="51"/>
      <c r="AI17" s="51"/>
      <c r="AJ17" s="51"/>
      <c r="AL17" s="51"/>
      <c r="AM17" s="51"/>
      <c r="AN17" s="51"/>
      <c r="AP17" s="51"/>
      <c r="AQ17" s="51"/>
      <c r="AU17" s="51"/>
      <c r="AW17" s="51"/>
      <c r="AX17" s="51"/>
      <c r="AY17" s="23"/>
      <c r="AZ17" s="142"/>
      <c r="BA17" s="23"/>
      <c r="BB17" s="23"/>
      <c r="BC17" s="23"/>
      <c r="BD17" s="142"/>
    </row>
    <row r="18" spans="4:63">
      <c r="D18" s="51"/>
      <c r="E18" s="51"/>
      <c r="F18" s="51"/>
      <c r="H18" s="51"/>
      <c r="I18" s="51"/>
      <c r="J18" s="51"/>
      <c r="L18" s="51"/>
      <c r="M18" s="51"/>
      <c r="Q18" s="142"/>
      <c r="R18" s="142"/>
      <c r="S18" s="316"/>
      <c r="T18" s="316"/>
      <c r="U18" s="142"/>
      <c r="V18" s="142"/>
      <c r="W18" s="316"/>
      <c r="X18" s="316"/>
      <c r="Y18" s="142"/>
      <c r="Z18" s="142"/>
      <c r="AA18" s="316"/>
      <c r="AB18" s="51"/>
      <c r="AF18" s="51"/>
      <c r="AH18" s="51"/>
      <c r="AI18" s="51"/>
      <c r="AJ18" s="51"/>
      <c r="AL18" s="51"/>
      <c r="AM18" s="51"/>
      <c r="AN18" s="51"/>
      <c r="AP18" s="51"/>
      <c r="AQ18" s="51"/>
      <c r="AU18" s="51"/>
      <c r="AW18" s="51"/>
      <c r="AX18" s="51"/>
      <c r="AY18" s="23"/>
      <c r="AZ18" s="142"/>
      <c r="BA18" s="23"/>
      <c r="BB18" s="23"/>
      <c r="BC18" s="23"/>
      <c r="BD18" s="142"/>
    </row>
    <row r="19" spans="4:63">
      <c r="D19" s="51"/>
      <c r="E19" s="51"/>
      <c r="F19" s="51"/>
      <c r="H19" s="51"/>
      <c r="I19" s="51"/>
      <c r="J19" s="51"/>
      <c r="L19" s="51"/>
      <c r="M19" s="51"/>
      <c r="Q19" s="51"/>
      <c r="S19" s="51"/>
      <c r="T19" s="51"/>
      <c r="U19" s="51"/>
      <c r="W19" s="51"/>
      <c r="X19" s="51"/>
      <c r="Y19" s="51"/>
      <c r="AA19" s="51"/>
      <c r="AB19" s="51"/>
      <c r="AF19" s="51"/>
      <c r="AH19" s="51"/>
      <c r="AI19" s="51"/>
      <c r="AJ19" s="51"/>
      <c r="AL19" s="51"/>
      <c r="AM19" s="51"/>
      <c r="AN19" s="51"/>
      <c r="AP19" s="51"/>
      <c r="AQ19" s="51"/>
      <c r="AU19" s="51"/>
      <c r="AW19" s="51"/>
      <c r="AX19" s="51"/>
      <c r="AY19" s="23"/>
      <c r="AZ19" s="142"/>
      <c r="BA19" s="23"/>
      <c r="BB19" s="23"/>
      <c r="BC19" s="23"/>
      <c r="BD19" s="142"/>
    </row>
    <row r="20" spans="4:63">
      <c r="D20" s="51"/>
      <c r="E20" s="51"/>
      <c r="F20" s="51"/>
      <c r="H20" s="51"/>
      <c r="I20" s="51"/>
      <c r="J20" s="51"/>
      <c r="L20" s="51"/>
      <c r="M20" s="51"/>
      <c r="Q20" s="51"/>
      <c r="S20" s="51"/>
      <c r="T20" s="51"/>
      <c r="U20" s="51"/>
      <c r="W20" s="51"/>
      <c r="X20" s="51"/>
      <c r="Y20" s="51"/>
      <c r="AA20" s="51"/>
      <c r="AB20" s="51"/>
      <c r="AF20" s="51"/>
      <c r="AH20" s="51"/>
      <c r="AI20" s="51"/>
      <c r="AJ20" s="51"/>
      <c r="AL20" s="51"/>
      <c r="AM20" s="51"/>
      <c r="AN20" s="51"/>
      <c r="AP20" s="51"/>
      <c r="AQ20" s="51"/>
      <c r="AU20" s="51"/>
      <c r="AW20" s="51"/>
      <c r="AX20" s="51"/>
      <c r="AY20" s="23"/>
      <c r="AZ20" s="142"/>
      <c r="BA20" s="23"/>
      <c r="BB20" s="23"/>
      <c r="BC20" s="23"/>
      <c r="BD20" s="142"/>
    </row>
    <row r="21" spans="4:63">
      <c r="D21" s="51"/>
      <c r="E21" s="51"/>
      <c r="F21" s="51"/>
      <c r="H21" s="51"/>
      <c r="I21" s="51"/>
      <c r="J21" s="51"/>
      <c r="L21" s="51"/>
      <c r="M21" s="51"/>
      <c r="Q21" s="51"/>
      <c r="S21" s="51"/>
      <c r="T21" s="51"/>
      <c r="U21" s="51"/>
      <c r="W21" s="51"/>
      <c r="X21" s="51"/>
      <c r="Y21" s="51"/>
      <c r="AA21" s="51"/>
      <c r="AB21" s="51"/>
      <c r="AF21" s="51"/>
      <c r="AH21" s="51"/>
      <c r="AI21" s="51"/>
      <c r="AJ21" s="51"/>
      <c r="AL21" s="51"/>
      <c r="AM21" s="51"/>
      <c r="AN21" s="51"/>
      <c r="AP21" s="51"/>
      <c r="AQ21" s="51"/>
      <c r="AU21" s="51"/>
      <c r="AW21" s="51"/>
      <c r="AX21" s="51"/>
    </row>
    <row r="22" spans="4:63">
      <c r="D22" s="51"/>
      <c r="E22" s="51"/>
      <c r="F22" s="51"/>
      <c r="H22" s="51"/>
      <c r="I22" s="51"/>
      <c r="J22" s="51"/>
      <c r="L22" s="51"/>
      <c r="M22" s="51"/>
      <c r="Q22" s="51"/>
      <c r="S22" s="51"/>
      <c r="T22" s="51"/>
      <c r="U22" s="51"/>
      <c r="W22" s="51"/>
      <c r="X22" s="51"/>
      <c r="Y22" s="51"/>
      <c r="AA22" s="51"/>
      <c r="AB22" s="51"/>
      <c r="AF22" s="51"/>
      <c r="AH22" s="51"/>
      <c r="AI22" s="51"/>
      <c r="AJ22" s="51"/>
      <c r="AL22" s="51"/>
      <c r="AM22" s="51"/>
      <c r="AN22" s="51"/>
      <c r="AP22" s="51"/>
      <c r="AQ22" s="51"/>
      <c r="AU22" s="51"/>
      <c r="AW22" s="51"/>
      <c r="AX22" s="51"/>
    </row>
    <row r="23" spans="4:63" s="51" customFormat="1">
      <c r="BK23" s="316"/>
    </row>
    <row r="24" spans="4:63">
      <c r="D24" s="51"/>
      <c r="E24" s="51"/>
      <c r="F24" s="51"/>
      <c r="H24" s="51"/>
      <c r="I24" s="51"/>
      <c r="J24" s="51"/>
      <c r="L24" s="51"/>
      <c r="M24" s="51"/>
      <c r="Q24" s="51"/>
      <c r="S24" s="51"/>
      <c r="T24" s="51"/>
      <c r="U24" s="51"/>
      <c r="W24" s="51"/>
      <c r="X24" s="51"/>
      <c r="Y24" s="51"/>
      <c r="AA24" s="51"/>
      <c r="AB24" s="51"/>
      <c r="AF24" s="51"/>
      <c r="AH24" s="51"/>
      <c r="AI24" s="51"/>
      <c r="AJ24" s="51"/>
      <c r="AL24" s="51"/>
      <c r="AM24" s="51"/>
      <c r="AN24" s="51"/>
      <c r="AP24" s="51"/>
      <c r="AQ24" s="51"/>
      <c r="AU24" s="51"/>
      <c r="AW24" s="51"/>
      <c r="AX24" s="51"/>
    </row>
    <row r="25" spans="4:63">
      <c r="D25" s="51"/>
      <c r="E25" s="51"/>
      <c r="F25" s="51"/>
      <c r="H25" s="51"/>
      <c r="I25" s="51"/>
      <c r="J25" s="51"/>
      <c r="L25" s="51"/>
      <c r="M25" s="51"/>
      <c r="Q25" s="51"/>
      <c r="S25" s="51"/>
      <c r="T25" s="51"/>
      <c r="U25" s="51"/>
      <c r="W25" s="51"/>
      <c r="X25" s="51"/>
      <c r="Y25" s="51"/>
      <c r="AA25" s="51"/>
      <c r="AB25" s="51"/>
      <c r="AF25" s="51"/>
      <c r="AH25" s="51"/>
      <c r="AI25" s="51"/>
      <c r="AJ25" s="51"/>
      <c r="AL25" s="51"/>
      <c r="AM25" s="51"/>
      <c r="AN25" s="51"/>
      <c r="AP25" s="51"/>
      <c r="AQ25" s="51"/>
      <c r="AU25" s="51"/>
      <c r="AW25" s="51"/>
      <c r="AX25" s="51"/>
    </row>
    <row r="26" spans="4:63">
      <c r="D26" s="51"/>
      <c r="E26" s="51"/>
      <c r="F26" s="51"/>
      <c r="H26" s="51"/>
      <c r="I26" s="51"/>
      <c r="J26" s="51"/>
      <c r="L26" s="51"/>
      <c r="M26" s="51"/>
      <c r="Q26" s="51"/>
      <c r="S26" s="51"/>
      <c r="T26" s="51"/>
      <c r="U26" s="51"/>
      <c r="W26" s="51"/>
      <c r="X26" s="51"/>
      <c r="Y26" s="51"/>
      <c r="AA26" s="51"/>
      <c r="AB26" s="51"/>
      <c r="AF26" s="51"/>
      <c r="AH26" s="51"/>
      <c r="AI26" s="51"/>
      <c r="AJ26" s="51"/>
      <c r="AL26" s="51"/>
      <c r="AM26" s="51"/>
      <c r="AN26" s="51"/>
      <c r="AP26" s="51"/>
      <c r="AQ26" s="51"/>
      <c r="AU26" s="51"/>
      <c r="AW26" s="51"/>
      <c r="AX26" s="51"/>
    </row>
    <row r="27" spans="4:63">
      <c r="D27" s="51"/>
      <c r="E27" s="51"/>
      <c r="F27" s="51"/>
      <c r="H27" s="51"/>
      <c r="I27" s="51"/>
      <c r="J27" s="51"/>
      <c r="L27" s="51"/>
      <c r="M27" s="51"/>
      <c r="Q27" s="51"/>
      <c r="S27" s="51"/>
      <c r="T27" s="51"/>
      <c r="U27" s="51"/>
      <c r="W27" s="51"/>
      <c r="X27" s="51"/>
      <c r="Y27" s="51"/>
      <c r="AA27" s="51"/>
      <c r="AB27" s="51"/>
      <c r="AF27" s="51"/>
      <c r="AH27" s="51"/>
      <c r="AI27" s="51"/>
      <c r="AJ27" s="51"/>
      <c r="AL27" s="51"/>
      <c r="AM27" s="51"/>
    </row>
    <row r="28" spans="4:63">
      <c r="D28" s="51"/>
      <c r="E28" s="51"/>
      <c r="F28" s="51"/>
      <c r="H28" s="51"/>
      <c r="I28" s="51"/>
      <c r="J28" s="51"/>
      <c r="L28" s="51"/>
      <c r="M28" s="51"/>
      <c r="Q28" s="51"/>
      <c r="S28" s="51"/>
      <c r="T28" s="51"/>
      <c r="U28" s="51"/>
      <c r="W28" s="51"/>
      <c r="X28" s="51"/>
      <c r="Y28" s="51"/>
      <c r="AA28" s="51"/>
      <c r="AB28" s="51"/>
      <c r="AF28" s="51"/>
      <c r="AH28" s="51"/>
      <c r="AI28" s="51"/>
      <c r="AJ28" s="51"/>
      <c r="AL28" s="51"/>
      <c r="AM28" s="51"/>
    </row>
    <row r="29" spans="4:63">
      <c r="D29" s="51"/>
      <c r="E29" s="51"/>
      <c r="F29" s="51"/>
      <c r="H29" s="51"/>
      <c r="I29" s="51"/>
      <c r="J29" s="51"/>
      <c r="L29" s="51"/>
      <c r="M29" s="51"/>
      <c r="Q29" s="51"/>
      <c r="S29" s="51"/>
      <c r="T29" s="51"/>
      <c r="U29" s="51"/>
      <c r="W29" s="51"/>
      <c r="X29" s="51"/>
      <c r="Y29" s="51"/>
      <c r="AA29" s="51"/>
      <c r="AB29" s="51"/>
      <c r="AF29" s="51"/>
      <c r="AH29" s="51"/>
      <c r="AI29" s="51"/>
      <c r="AJ29" s="51"/>
      <c r="AL29" s="51"/>
      <c r="AM29" s="51"/>
    </row>
    <row r="30" spans="4:63">
      <c r="D30" s="51"/>
      <c r="E30" s="51"/>
      <c r="F30" s="51"/>
      <c r="H30" s="51"/>
      <c r="I30" s="51"/>
      <c r="J30" s="51"/>
      <c r="L30" s="51"/>
      <c r="M30" s="51"/>
      <c r="Q30" s="51"/>
      <c r="S30" s="51"/>
      <c r="T30" s="51"/>
      <c r="U30" s="51"/>
      <c r="W30" s="51"/>
      <c r="X30" s="51"/>
      <c r="Y30" s="51"/>
      <c r="AA30" s="51"/>
      <c r="AB30" s="51"/>
      <c r="AF30" s="51"/>
      <c r="AH30" s="51"/>
      <c r="AI30" s="51"/>
      <c r="AJ30" s="51"/>
      <c r="AL30" s="51"/>
      <c r="AM30" s="51"/>
    </row>
    <row r="31" spans="4:63">
      <c r="D31" s="51"/>
      <c r="E31" s="51"/>
      <c r="F31" s="51"/>
      <c r="H31" s="51"/>
      <c r="I31" s="51"/>
      <c r="J31" s="51"/>
      <c r="L31" s="51"/>
      <c r="M31" s="51"/>
      <c r="Q31" s="51"/>
      <c r="S31" s="51"/>
      <c r="T31" s="51"/>
      <c r="U31" s="51"/>
      <c r="W31" s="51"/>
      <c r="X31" s="51"/>
      <c r="Y31" s="51"/>
      <c r="AA31" s="51"/>
      <c r="AB31" s="51"/>
      <c r="AF31" s="51"/>
      <c r="AH31" s="51"/>
      <c r="AI31" s="51"/>
      <c r="AJ31" s="51"/>
      <c r="AL31" s="51"/>
      <c r="AM31" s="5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0" r:id="rId1" xr:uid="{12908054-6E83-45C8-B41F-2A27E983E2F2}"/>
  </hyperlinks>
  <pageMargins left="0.7" right="0.7" top="0.78740157499999996" bottom="0.78740157499999996" header="0.3" footer="0.3"/>
  <pageSetup paperSize="9" orientation="portrait" r:id="rId2"/>
  <ignoredErrors>
    <ignoredError sqref="F8 J8 U8 Y8" formula="1"/>
    <ignoredError sqref="C8:E8 G8:I8 K8:M8 R8:T8 V8:X8 Z8:AB8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1F92-6B0A-40FB-87CE-F842B07B8801}">
  <dimension ref="A1:BQ27"/>
  <sheetViews>
    <sheetView topLeftCell="B1" zoomScaleNormal="100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21" style="51" customWidth="1"/>
    <col min="3" max="3" width="9.28515625" style="51" customWidth="1"/>
    <col min="4" max="4" width="8.7109375" style="51" customWidth="1"/>
    <col min="5" max="5" width="9.5703125" style="51" customWidth="1"/>
    <col min="6" max="6" width="11.5703125" style="51" customWidth="1"/>
    <col min="7" max="7" width="9" style="51" customWidth="1"/>
    <col min="8" max="8" width="9.140625" style="51" customWidth="1"/>
    <col min="9" max="9" width="10.140625" style="51" customWidth="1"/>
    <col min="10" max="10" width="10.85546875" style="51" customWidth="1"/>
    <col min="11" max="11" width="9.14062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7" width="10" style="51" customWidth="1"/>
    <col min="18" max="18" width="10.28515625" style="51" customWidth="1"/>
    <col min="19" max="19" width="9.7109375" style="51" customWidth="1"/>
    <col min="20" max="20" width="10.7109375" style="51" customWidth="1"/>
    <col min="21" max="21" width="11.140625" style="51" customWidth="1"/>
    <col min="22" max="22" width="10.28515625" style="51" customWidth="1"/>
    <col min="23" max="23" width="11.5703125" style="51" customWidth="1"/>
    <col min="24" max="24" width="11.42578125" style="51" customWidth="1"/>
    <col min="25" max="25" width="10.140625" style="51" customWidth="1"/>
    <col min="26" max="26" width="10.28515625" style="51" customWidth="1"/>
    <col min="27" max="27" width="10.7109375" style="51" customWidth="1"/>
    <col min="28" max="31" width="12.28515625" style="51" customWidth="1"/>
    <col min="32" max="32" width="11.42578125" style="51" customWidth="1"/>
    <col min="33" max="33" width="9.85546875" style="51" customWidth="1"/>
    <col min="34" max="34" width="11" style="51" customWidth="1"/>
    <col min="35" max="35" width="9.7109375" style="51" customWidth="1"/>
    <col min="36" max="36" width="11.42578125" style="5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 customWidth="1"/>
    <col min="41" max="41" width="9" style="51" customWidth="1"/>
    <col min="42" max="51" width="11.42578125" style="51" customWidth="1"/>
    <col min="52" max="52" width="9.7109375" style="51" customWidth="1"/>
    <col min="53" max="62" width="11.42578125" style="51" customWidth="1"/>
    <col min="63" max="63" width="11.42578125" style="316" customWidth="1"/>
    <col min="64" max="16384" width="11.42578125" style="51"/>
  </cols>
  <sheetData>
    <row r="1" spans="2:69">
      <c r="B1" s="57" t="s">
        <v>51</v>
      </c>
      <c r="C1" s="57"/>
    </row>
    <row r="2" spans="2:69">
      <c r="B2" s="68"/>
      <c r="C2" s="68"/>
      <c r="AB2" s="64"/>
      <c r="AC2" s="142"/>
      <c r="AD2" s="142"/>
      <c r="AE2" s="142"/>
    </row>
    <row r="4" spans="2:69" ht="45" customHeight="1">
      <c r="B4" s="52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58">
        <v>2020</v>
      </c>
      <c r="BF5" s="58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58">
        <v>2020</v>
      </c>
      <c r="BM5" s="58">
        <v>2021</v>
      </c>
      <c r="BN5" s="369"/>
    </row>
    <row r="6" spans="2:69">
      <c r="B6" s="248" t="s">
        <v>6</v>
      </c>
      <c r="C6" s="53">
        <v>134160</v>
      </c>
      <c r="D6" s="188">
        <v>115984</v>
      </c>
      <c r="E6" s="96">
        <v>130967</v>
      </c>
      <c r="F6" s="201">
        <f>(E6-D6)/D6</f>
        <v>0.12918161125672506</v>
      </c>
      <c r="G6" s="53">
        <v>97261</v>
      </c>
      <c r="H6" s="53">
        <v>87536</v>
      </c>
      <c r="I6" s="96">
        <v>106448</v>
      </c>
      <c r="J6" s="205">
        <f>(I6-H6)/H6</f>
        <v>0.21604825443246206</v>
      </c>
      <c r="K6" s="53">
        <v>124934</v>
      </c>
      <c r="L6" s="53">
        <v>138019</v>
      </c>
      <c r="M6" s="220">
        <v>140106</v>
      </c>
      <c r="N6" s="96">
        <f>SUM(C6,G6,K6)</f>
        <v>356355</v>
      </c>
      <c r="O6" s="96">
        <f>SUM(D6,H6,L6)</f>
        <v>341539</v>
      </c>
      <c r="P6" s="96">
        <f>SUM(E6,I6,M6)</f>
        <v>377521</v>
      </c>
      <c r="Q6" s="225">
        <f>(M6-L6)/L6</f>
        <v>1.5121106514320493E-2</v>
      </c>
      <c r="R6" s="96">
        <v>128999</v>
      </c>
      <c r="S6" s="96">
        <v>139319</v>
      </c>
      <c r="T6" s="96">
        <v>138148</v>
      </c>
      <c r="U6" s="93">
        <f>(T6-S6)/S6</f>
        <v>-8.4051708668595095E-3</v>
      </c>
      <c r="V6" s="96">
        <v>127437</v>
      </c>
      <c r="W6" s="96">
        <v>146280</v>
      </c>
      <c r="X6" s="96">
        <v>125024</v>
      </c>
      <c r="Y6" s="93">
        <f>(X6-W6)/W6</f>
        <v>-0.1453103636860815</v>
      </c>
      <c r="Z6" s="96">
        <v>116311</v>
      </c>
      <c r="AA6" s="96">
        <v>179715</v>
      </c>
      <c r="AB6" s="96">
        <v>140782</v>
      </c>
      <c r="AC6" s="96">
        <f>SUM(R6,V6,Z6)</f>
        <v>372747</v>
      </c>
      <c r="AD6" s="96">
        <f>SUM(S6,W6,AA6)</f>
        <v>465314</v>
      </c>
      <c r="AE6" s="96">
        <f>SUM(T6,X6,AB6)</f>
        <v>403954</v>
      </c>
      <c r="AF6" s="93">
        <f>(AB6-AA6)/AA6</f>
        <v>-0.21663745374620927</v>
      </c>
      <c r="AG6" s="93"/>
      <c r="AH6" s="96"/>
      <c r="AI6" s="96"/>
      <c r="AJ6" s="93"/>
      <c r="AK6" s="93"/>
      <c r="AL6" s="127"/>
      <c r="AM6" s="127"/>
      <c r="AN6" s="93"/>
      <c r="AO6" s="93"/>
      <c r="AP6" s="53"/>
      <c r="AQ6" s="53"/>
      <c r="AR6" s="53"/>
      <c r="AS6" s="53"/>
      <c r="AT6" s="53"/>
      <c r="AU6" s="93"/>
      <c r="AV6" s="93"/>
      <c r="AW6" s="53"/>
      <c r="AX6" s="53"/>
      <c r="AY6" s="93"/>
      <c r="AZ6" s="93"/>
      <c r="BA6" s="53"/>
      <c r="BB6" s="53"/>
      <c r="BC6" s="93"/>
      <c r="BD6" s="93"/>
      <c r="BE6" s="55"/>
      <c r="BF6" s="53"/>
      <c r="BG6" s="53"/>
      <c r="BH6" s="53"/>
      <c r="BI6" s="53"/>
      <c r="BJ6" s="93"/>
      <c r="BK6" s="145">
        <f>SUM(C6,G6,K6,R6,V6,Z6,AG6,AK6,AO6,AV6,AZ6,BD6)</f>
        <v>729102</v>
      </c>
      <c r="BL6" s="54">
        <f>SUM(D6,H6,L6,S6,W6,AA6,AH6,AL6,AP6,AW6,BA6,BE6)</f>
        <v>806853</v>
      </c>
      <c r="BM6" s="145">
        <f>SUM(E6,I6,M6,T6,X6,AB6,AI6,AM6,AQ6,AX6,BB6,BF6)</f>
        <v>781475</v>
      </c>
      <c r="BN6" s="59">
        <f>(BM6-BL6)/BL6</f>
        <v>-3.1453065180398414E-2</v>
      </c>
    </row>
    <row r="7" spans="2:69">
      <c r="B7" s="420" t="s">
        <v>157</v>
      </c>
      <c r="C7" s="423">
        <v>31542</v>
      </c>
      <c r="D7" s="424">
        <v>24366</v>
      </c>
      <c r="E7" s="424">
        <v>24219</v>
      </c>
      <c r="F7" s="425">
        <f>(E7-D7)/D7</f>
        <v>-6.0329967988180253E-3</v>
      </c>
      <c r="G7" s="426">
        <v>20679</v>
      </c>
      <c r="H7" s="429">
        <v>19885</v>
      </c>
      <c r="I7" s="411">
        <v>17539</v>
      </c>
      <c r="J7" s="414">
        <f t="shared" ref="J7:J10" si="0">(I7-H7)/H7</f>
        <v>-0.11797837566004526</v>
      </c>
      <c r="K7" s="417">
        <v>28662</v>
      </c>
      <c r="L7" s="429">
        <v>24417</v>
      </c>
      <c r="M7" s="411">
        <v>28901</v>
      </c>
      <c r="N7" s="411">
        <f t="shared" ref="N7" si="1">SUM(C7,G7,K7)</f>
        <v>80883</v>
      </c>
      <c r="O7" s="411">
        <f t="shared" ref="O7" si="2">SUM(D7,H7,L7)</f>
        <v>68668</v>
      </c>
      <c r="P7" s="411">
        <f t="shared" ref="P7" si="3">SUM(E7,I7,M7)</f>
        <v>70659</v>
      </c>
      <c r="Q7" s="414">
        <f t="shared" ref="Q7:Q10" si="4">(M7-L7)/L7</f>
        <v>0.1836425441290904</v>
      </c>
      <c r="R7" s="411">
        <v>29162</v>
      </c>
      <c r="S7" s="417">
        <v>23465</v>
      </c>
      <c r="T7" s="411">
        <v>24928</v>
      </c>
      <c r="U7" s="414">
        <f>(T7-S7)/S7</f>
        <v>6.2348178137651825E-2</v>
      </c>
      <c r="V7" s="411">
        <v>26309</v>
      </c>
      <c r="W7" s="417">
        <v>22286</v>
      </c>
      <c r="X7" s="411">
        <v>20691</v>
      </c>
      <c r="Y7" s="414">
        <f>(X7-W7)/W7</f>
        <v>-7.1569595261599214E-2</v>
      </c>
      <c r="Z7" s="411">
        <v>24132</v>
      </c>
      <c r="AA7" s="417">
        <v>26985</v>
      </c>
      <c r="AB7" s="411">
        <v>26255</v>
      </c>
      <c r="AC7" s="411">
        <f t="shared" ref="AC7:AE10" si="5">SUM(R7,V7,Z7)</f>
        <v>79603</v>
      </c>
      <c r="AD7" s="411">
        <f t="shared" si="5"/>
        <v>72736</v>
      </c>
      <c r="AE7" s="411">
        <f t="shared" si="5"/>
        <v>71874</v>
      </c>
      <c r="AF7" s="414">
        <f>(AB7-AA7)/AA7</f>
        <v>-2.70520659625718E-2</v>
      </c>
      <c r="AG7" s="399"/>
      <c r="AH7" s="405"/>
      <c r="AI7" s="408"/>
      <c r="AJ7" s="399"/>
      <c r="AK7" s="399"/>
      <c r="AL7" s="402"/>
      <c r="AM7" s="402"/>
      <c r="AN7" s="399"/>
      <c r="AO7" s="399"/>
      <c r="AP7" s="396"/>
      <c r="AQ7" s="396"/>
      <c r="AR7" s="396"/>
      <c r="AS7" s="396"/>
      <c r="AT7" s="396"/>
      <c r="AU7" s="399"/>
      <c r="AV7" s="399"/>
      <c r="AW7" s="396"/>
      <c r="AX7" s="396"/>
      <c r="AY7" s="399"/>
      <c r="AZ7" s="399"/>
      <c r="BA7" s="396"/>
      <c r="BB7" s="396"/>
      <c r="BC7" s="399"/>
      <c r="BD7" s="399"/>
      <c r="BE7" s="393"/>
      <c r="BF7" s="396"/>
      <c r="BG7" s="396"/>
      <c r="BH7" s="396"/>
      <c r="BI7" s="396"/>
      <c r="BJ7" s="399"/>
      <c r="BK7" s="387">
        <f t="shared" ref="BK7:BK10" si="6">SUM(C7,G7,K7,R7,V7,Z7,AG7,AK7,AO7,AV7,AZ7,BD7)</f>
        <v>160486</v>
      </c>
      <c r="BL7" s="387">
        <f t="shared" ref="BL7" si="7">SUM(D7,H7,L7,S7,W7,AA7,AH7,AL7,AP7,AW7,BA7,BE7)</f>
        <v>141404</v>
      </c>
      <c r="BM7" s="387">
        <f t="shared" ref="BM7" si="8">SUM(E7,I7,M7,T7,X7,AB7,AI7,AM7,AQ7,AX7,BB7,BF7)</f>
        <v>142533</v>
      </c>
      <c r="BN7" s="390">
        <f>(BM7-BL7)/BL7</f>
        <v>7.9842154394500868E-3</v>
      </c>
    </row>
    <row r="8" spans="2:69">
      <c r="B8" s="421"/>
      <c r="C8" s="423"/>
      <c r="D8" s="424"/>
      <c r="E8" s="424"/>
      <c r="F8" s="425"/>
      <c r="G8" s="427"/>
      <c r="H8" s="430"/>
      <c r="I8" s="412"/>
      <c r="J8" s="415"/>
      <c r="K8" s="418"/>
      <c r="L8" s="430"/>
      <c r="M8" s="412"/>
      <c r="N8" s="412"/>
      <c r="O8" s="412"/>
      <c r="P8" s="412"/>
      <c r="Q8" s="415"/>
      <c r="R8" s="412"/>
      <c r="S8" s="418"/>
      <c r="T8" s="412"/>
      <c r="U8" s="415"/>
      <c r="V8" s="412"/>
      <c r="W8" s="418"/>
      <c r="X8" s="412"/>
      <c r="Y8" s="415"/>
      <c r="Z8" s="412"/>
      <c r="AA8" s="418"/>
      <c r="AB8" s="412"/>
      <c r="AC8" s="412"/>
      <c r="AD8" s="412"/>
      <c r="AE8" s="412"/>
      <c r="AF8" s="415"/>
      <c r="AG8" s="400"/>
      <c r="AH8" s="406"/>
      <c r="AI8" s="409"/>
      <c r="AJ8" s="400"/>
      <c r="AK8" s="400"/>
      <c r="AL8" s="403"/>
      <c r="AM8" s="403"/>
      <c r="AN8" s="400"/>
      <c r="AO8" s="400"/>
      <c r="AP8" s="397"/>
      <c r="AQ8" s="397"/>
      <c r="AR8" s="397"/>
      <c r="AS8" s="397"/>
      <c r="AT8" s="397"/>
      <c r="AU8" s="400"/>
      <c r="AV8" s="400"/>
      <c r="AW8" s="397"/>
      <c r="AX8" s="397"/>
      <c r="AY8" s="400"/>
      <c r="AZ8" s="400"/>
      <c r="BA8" s="397"/>
      <c r="BB8" s="397"/>
      <c r="BC8" s="400"/>
      <c r="BD8" s="400"/>
      <c r="BE8" s="394"/>
      <c r="BF8" s="397"/>
      <c r="BG8" s="397"/>
      <c r="BH8" s="397"/>
      <c r="BI8" s="397"/>
      <c r="BJ8" s="400"/>
      <c r="BK8" s="388"/>
      <c r="BL8" s="388"/>
      <c r="BM8" s="388"/>
      <c r="BN8" s="391"/>
    </row>
    <row r="9" spans="2:69">
      <c r="B9" s="422"/>
      <c r="C9" s="423"/>
      <c r="D9" s="424"/>
      <c r="E9" s="424"/>
      <c r="F9" s="425"/>
      <c r="G9" s="428"/>
      <c r="H9" s="431"/>
      <c r="I9" s="413"/>
      <c r="J9" s="416"/>
      <c r="K9" s="419"/>
      <c r="L9" s="431"/>
      <c r="M9" s="413"/>
      <c r="N9" s="413"/>
      <c r="O9" s="413"/>
      <c r="P9" s="413"/>
      <c r="Q9" s="416"/>
      <c r="R9" s="413"/>
      <c r="S9" s="419"/>
      <c r="T9" s="413"/>
      <c r="U9" s="416"/>
      <c r="V9" s="413"/>
      <c r="W9" s="419"/>
      <c r="X9" s="413"/>
      <c r="Y9" s="416"/>
      <c r="Z9" s="413"/>
      <c r="AA9" s="419"/>
      <c r="AB9" s="413"/>
      <c r="AC9" s="413"/>
      <c r="AD9" s="413"/>
      <c r="AE9" s="413"/>
      <c r="AF9" s="416"/>
      <c r="AG9" s="401"/>
      <c r="AH9" s="407"/>
      <c r="AI9" s="410"/>
      <c r="AJ9" s="401"/>
      <c r="AK9" s="401"/>
      <c r="AL9" s="404"/>
      <c r="AM9" s="404"/>
      <c r="AN9" s="401"/>
      <c r="AO9" s="401"/>
      <c r="AP9" s="398"/>
      <c r="AQ9" s="398"/>
      <c r="AR9" s="398"/>
      <c r="AS9" s="398"/>
      <c r="AT9" s="398"/>
      <c r="AU9" s="401"/>
      <c r="AV9" s="401"/>
      <c r="AW9" s="398"/>
      <c r="AX9" s="398"/>
      <c r="AY9" s="401"/>
      <c r="AZ9" s="401"/>
      <c r="BA9" s="398"/>
      <c r="BB9" s="398"/>
      <c r="BC9" s="401"/>
      <c r="BD9" s="401"/>
      <c r="BE9" s="395"/>
      <c r="BF9" s="398"/>
      <c r="BG9" s="398"/>
      <c r="BH9" s="398"/>
      <c r="BI9" s="398"/>
      <c r="BJ9" s="401"/>
      <c r="BK9" s="389"/>
      <c r="BL9" s="389"/>
      <c r="BM9" s="389"/>
      <c r="BN9" s="392"/>
    </row>
    <row r="10" spans="2:69" s="57" customFormat="1">
      <c r="B10" s="249" t="s">
        <v>7</v>
      </c>
      <c r="C10" s="187">
        <f>SUM(C6:C9)</f>
        <v>165702</v>
      </c>
      <c r="D10" s="187">
        <f>SUM(D6:D9)</f>
        <v>140350</v>
      </c>
      <c r="E10" s="54">
        <f>SUM(E6:E9)</f>
        <v>155186</v>
      </c>
      <c r="F10" s="61">
        <f>(E10-D10)/D10</f>
        <v>0.10570716066975419</v>
      </c>
      <c r="G10" s="145">
        <f>SUM(G6:G9)</f>
        <v>117940</v>
      </c>
      <c r="H10" s="54">
        <f>SUM(H6:H9)</f>
        <v>107421</v>
      </c>
      <c r="I10" s="54">
        <f>SUM(I6:I9)</f>
        <v>123987</v>
      </c>
      <c r="J10" s="207">
        <f t="shared" si="0"/>
        <v>0.15421565615661742</v>
      </c>
      <c r="K10" s="145">
        <f>SUM(K6:K9)</f>
        <v>153596</v>
      </c>
      <c r="L10" s="54">
        <f>SUM(L6:L9)</f>
        <v>162436</v>
      </c>
      <c r="M10" s="54">
        <f>SUM(M6:M9)</f>
        <v>169007</v>
      </c>
      <c r="N10" s="227">
        <f>SUM(N6:N9)</f>
        <v>437238</v>
      </c>
      <c r="O10" s="227">
        <f t="shared" ref="O10:P10" si="9">SUM(O6:O9)</f>
        <v>410207</v>
      </c>
      <c r="P10" s="227">
        <f t="shared" si="9"/>
        <v>448180</v>
      </c>
      <c r="Q10" s="223">
        <f t="shared" si="4"/>
        <v>4.0452855278386567E-2</v>
      </c>
      <c r="R10" s="145">
        <f>SUM(R6:R9)</f>
        <v>158161</v>
      </c>
      <c r="S10" s="145">
        <f>SUM(S6:S9)</f>
        <v>162784</v>
      </c>
      <c r="T10" s="145">
        <f>SUM(T6:T9)</f>
        <v>163076</v>
      </c>
      <c r="U10" s="61">
        <f>(T10-S10)/S10</f>
        <v>1.7937880872813054E-3</v>
      </c>
      <c r="V10" s="145">
        <f>SUM(V6:V9)</f>
        <v>153746</v>
      </c>
      <c r="W10" s="145">
        <f>SUM(W6:W9)</f>
        <v>168566</v>
      </c>
      <c r="X10" s="145">
        <f>SUM(X6:X9)</f>
        <v>145715</v>
      </c>
      <c r="Y10" s="61">
        <f>(X10-W10)/W10</f>
        <v>-0.13556114518942136</v>
      </c>
      <c r="Z10" s="145">
        <f>SUM(Z6:Z9)</f>
        <v>140443</v>
      </c>
      <c r="AA10" s="145">
        <f>SUM(AA6:AA9)</f>
        <v>206700</v>
      </c>
      <c r="AB10" s="145">
        <f>SUM(AB6:AB9)</f>
        <v>167037</v>
      </c>
      <c r="AC10" s="145">
        <f t="shared" si="5"/>
        <v>452350</v>
      </c>
      <c r="AD10" s="145">
        <f t="shared" si="5"/>
        <v>538050</v>
      </c>
      <c r="AE10" s="145">
        <f t="shared" si="5"/>
        <v>475828</v>
      </c>
      <c r="AF10" s="61">
        <f>(AB10-AA10)/AA10</f>
        <v>-0.19188679245283019</v>
      </c>
      <c r="AG10" s="61"/>
      <c r="AH10" s="54"/>
      <c r="AI10" s="54"/>
      <c r="AJ10" s="61"/>
      <c r="AK10" s="61"/>
      <c r="AL10" s="54"/>
      <c r="AM10" s="54"/>
      <c r="AN10" s="61"/>
      <c r="AO10" s="61"/>
      <c r="AP10" s="227"/>
      <c r="AQ10" s="54"/>
      <c r="AR10" s="145"/>
      <c r="AS10" s="145"/>
      <c r="AT10" s="145"/>
      <c r="AU10" s="61"/>
      <c r="AV10" s="61"/>
      <c r="AW10" s="227"/>
      <c r="AX10" s="54"/>
      <c r="AY10" s="61"/>
      <c r="AZ10" s="61"/>
      <c r="BA10" s="227"/>
      <c r="BB10" s="145"/>
      <c r="BC10" s="61"/>
      <c r="BD10" s="61"/>
      <c r="BE10" s="145"/>
      <c r="BF10" s="145"/>
      <c r="BG10" s="145"/>
      <c r="BH10" s="145"/>
      <c r="BI10" s="145"/>
      <c r="BJ10" s="61"/>
      <c r="BK10" s="145">
        <f t="shared" si="6"/>
        <v>889588</v>
      </c>
      <c r="BL10" s="54">
        <f>SUM(D10,H10,L10,S10,W10,AA10,AH10,AL10,AP10,AW10,BA10,BE10)</f>
        <v>948257</v>
      </c>
      <c r="BM10" s="145">
        <f>SUM(E10,I10,M10,T10,X10,AB10,AI10,AM10,AQ10,AX10,BB10,BF10)</f>
        <v>924008</v>
      </c>
      <c r="BN10" s="60">
        <f>(BM10-BL10)/BL10</f>
        <v>-2.5572181381207836E-2</v>
      </c>
      <c r="BP10" s="51"/>
      <c r="BQ10" s="62"/>
    </row>
    <row r="11" spans="2:69">
      <c r="D11" s="45"/>
      <c r="E11" s="44"/>
      <c r="F11" s="45"/>
      <c r="G11" s="45"/>
      <c r="H11" s="45"/>
      <c r="I11" s="44"/>
      <c r="J11" s="45"/>
      <c r="K11" s="45"/>
      <c r="L11" s="45"/>
      <c r="M11" s="44"/>
      <c r="N11" s="44"/>
      <c r="O11" s="44"/>
      <c r="P11" s="44"/>
      <c r="Q11" s="45"/>
      <c r="R11" s="45"/>
      <c r="S11" s="45"/>
      <c r="T11" s="44"/>
      <c r="U11" s="45"/>
      <c r="V11" s="45"/>
      <c r="W11" s="45"/>
      <c r="X11" s="44"/>
      <c r="Y11" s="45"/>
      <c r="Z11" s="45"/>
      <c r="AA11" s="45"/>
      <c r="AB11" s="44"/>
      <c r="AC11" s="44"/>
      <c r="AD11" s="44"/>
      <c r="AE11" s="44"/>
    </row>
    <row r="12" spans="2:69">
      <c r="B12" s="51" t="s">
        <v>52</v>
      </c>
      <c r="D12" s="67" t="s">
        <v>111</v>
      </c>
      <c r="E12" s="64"/>
      <c r="F12" s="64"/>
      <c r="G12" s="142"/>
      <c r="H12" s="64"/>
      <c r="I12" s="64"/>
      <c r="J12" s="64"/>
      <c r="K12" s="142"/>
      <c r="L12" s="64"/>
      <c r="M12" s="64"/>
      <c r="N12" s="142"/>
      <c r="O12" s="142"/>
      <c r="P12" s="142"/>
      <c r="Q12" s="64"/>
      <c r="R12" s="142"/>
      <c r="S12" s="64"/>
      <c r="T12" s="64"/>
      <c r="U12" s="64"/>
      <c r="V12" s="142"/>
      <c r="W12" s="64"/>
      <c r="X12" s="64"/>
      <c r="Y12" s="64"/>
      <c r="Z12" s="142"/>
      <c r="AA12" s="64"/>
      <c r="AB12" s="64"/>
      <c r="AC12" s="142"/>
      <c r="AD12" s="142"/>
      <c r="AE12" s="142"/>
    </row>
    <row r="13" spans="2:69" ht="17.25" customHeight="1">
      <c r="C13" s="142"/>
      <c r="R13" s="142"/>
      <c r="AN13" s="64"/>
      <c r="AO13" s="142"/>
    </row>
    <row r="14" spans="2:69"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N14" s="64"/>
      <c r="AO14" s="142"/>
    </row>
    <row r="15" spans="2:69">
      <c r="C15" s="114"/>
      <c r="D15" s="114"/>
      <c r="E15" s="114"/>
      <c r="F15" s="68"/>
      <c r="G15" s="114"/>
      <c r="H15" s="114"/>
      <c r="I15" s="114"/>
      <c r="J15" s="68"/>
      <c r="K15" s="114"/>
      <c r="L15" s="114"/>
      <c r="M15" s="114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N15" s="64"/>
      <c r="AO15" s="142"/>
    </row>
    <row r="16" spans="2:69"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N16" s="64"/>
      <c r="AO16" s="142"/>
    </row>
    <row r="17" spans="7:41">
      <c r="G17" s="142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N17" s="64"/>
      <c r="AO17" s="142"/>
    </row>
    <row r="18" spans="7:41"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N18" s="64"/>
      <c r="AO18" s="142"/>
    </row>
    <row r="19" spans="7:41"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</row>
    <row r="20" spans="7:41"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</row>
    <row r="21" spans="7:41"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</row>
    <row r="22" spans="7:41"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</row>
    <row r="23" spans="7:41"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</row>
    <row r="24" spans="7:41"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</row>
    <row r="25" spans="7:41"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</row>
    <row r="26" spans="7:41"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</row>
    <row r="27" spans="7:41"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</row>
  </sheetData>
  <mergeCells count="83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  <mergeCell ref="L7:L9"/>
    <mergeCell ref="M7:M9"/>
    <mergeCell ref="Q7:Q9"/>
    <mergeCell ref="N7:N9"/>
    <mergeCell ref="O7:O9"/>
    <mergeCell ref="P7:P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J7:BJ9"/>
    <mergeCell ref="BL7:BL9"/>
    <mergeCell ref="BM7:BM9"/>
    <mergeCell ref="BN7:BN9"/>
    <mergeCell ref="BE7:BE9"/>
    <mergeCell ref="BF7:BF9"/>
    <mergeCell ref="BG7:BG9"/>
    <mergeCell ref="BH7:BH9"/>
    <mergeCell ref="BI7:BI9"/>
    <mergeCell ref="BK7:BK9"/>
  </mergeCells>
  <hyperlinks>
    <hyperlink ref="D12" r:id="rId1" xr:uid="{D0EE260E-FCBB-4CD4-BB37-20AC85D8445E}"/>
  </hyperlinks>
  <pageMargins left="0.25" right="0.25" top="0.75" bottom="0.75" header="0.3" footer="0.3"/>
  <pageSetup paperSize="9" orientation="landscape" r:id="rId2"/>
  <ignoredErrors>
    <ignoredError sqref="C10:E10 G10:I10 K10:M10 R10:T10 V10:X10 Z10:AB10" formulaRange="1"/>
    <ignoredError sqref="F10 J10 Q10 U10 Y10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1387-55D9-47F7-BE7F-0530ED4D9A31}">
  <dimension ref="A1:BQ25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9.14062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71093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10" style="51" customWidth="1"/>
    <col min="23" max="23" width="10.85546875" style="21" customWidth="1"/>
    <col min="24" max="24" width="10.42578125" style="21" customWidth="1"/>
    <col min="25" max="25" width="10.140625" style="21" bestFit="1" customWidth="1"/>
    <col min="26" max="26" width="9.2851562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9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62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47164</v>
      </c>
      <c r="D6" s="185">
        <v>44016</v>
      </c>
      <c r="E6" s="31">
        <v>35007</v>
      </c>
      <c r="F6" s="198">
        <f>(E6-D6)/D6</f>
        <v>-0.20467557251908397</v>
      </c>
      <c r="G6" s="53">
        <v>29780</v>
      </c>
      <c r="H6" s="53">
        <v>29665</v>
      </c>
      <c r="I6" s="31">
        <v>21692</v>
      </c>
      <c r="J6" s="198">
        <f>(I6-H6)/H6</f>
        <v>-0.26876790830945557</v>
      </c>
      <c r="K6" s="53">
        <v>38507</v>
      </c>
      <c r="L6" s="53">
        <v>29372</v>
      </c>
      <c r="M6" s="216">
        <v>24168</v>
      </c>
      <c r="N6" s="53">
        <f>SUM(C6,G6,K6)</f>
        <v>115451</v>
      </c>
      <c r="O6" s="53">
        <f>SUM(D6,H6,L6)</f>
        <v>103053</v>
      </c>
      <c r="P6" s="53">
        <f>SUM(E6,I6,M6)</f>
        <v>80867</v>
      </c>
      <c r="Q6" s="222">
        <f>(M6-L6)/L6</f>
        <v>-0.17717554133188071</v>
      </c>
      <c r="R6" s="53">
        <v>32701</v>
      </c>
      <c r="S6" s="53">
        <v>15322</v>
      </c>
      <c r="T6" s="53">
        <v>23846</v>
      </c>
      <c r="U6" s="49">
        <f>(T6-S6)/S6</f>
        <v>0.55632423965539746</v>
      </c>
      <c r="V6" s="53">
        <v>36602</v>
      </c>
      <c r="W6" s="31">
        <v>14842</v>
      </c>
      <c r="X6" s="31">
        <v>25601</v>
      </c>
      <c r="Y6" s="49">
        <f>(X6-W6)/W6</f>
        <v>0.72490230427166147</v>
      </c>
      <c r="Z6" s="53">
        <v>41026</v>
      </c>
      <c r="AA6" s="31">
        <v>24754</v>
      </c>
      <c r="AB6" s="31">
        <v>33318</v>
      </c>
      <c r="AC6" s="53">
        <f>SUM(R6,V6,Z6)</f>
        <v>110329</v>
      </c>
      <c r="AD6" s="53">
        <f t="shared" ref="AD6:AE10" si="0">SUM(S6,W6,AA6)</f>
        <v>54918</v>
      </c>
      <c r="AE6" s="53">
        <f t="shared" si="0"/>
        <v>82765</v>
      </c>
      <c r="AF6" s="49">
        <f>(AB6-AA6)/AA6</f>
        <v>0.34596428859982226</v>
      </c>
      <c r="AG6" s="49"/>
      <c r="AH6" s="31"/>
      <c r="AI6" s="53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71"/>
      <c r="BB6" s="53"/>
      <c r="BC6" s="49"/>
      <c r="BD6" s="49"/>
      <c r="BE6" s="155"/>
      <c r="BF6" s="71"/>
      <c r="BG6" s="71"/>
      <c r="BH6" s="71"/>
      <c r="BI6" s="71"/>
      <c r="BJ6" s="49"/>
      <c r="BK6" s="145">
        <f>SUM(C6,G6,K6,R6,V6,Z6,AG6,AK6,AO6,AV6,AZ6,BD6)</f>
        <v>225780</v>
      </c>
      <c r="BL6" s="145">
        <f t="shared" ref="BL6:BM6" si="1">SUM(D6,H6,L6,S6,W6,AA6,AH6,AL6,AP6,AW6,BA6,BE6)</f>
        <v>157971</v>
      </c>
      <c r="BM6" s="145">
        <f t="shared" si="1"/>
        <v>163632</v>
      </c>
      <c r="BN6" s="32">
        <f>(BM6-BL6)/BL6</f>
        <v>3.5835691361072605E-2</v>
      </c>
    </row>
    <row r="7" spans="2:69">
      <c r="B7" s="248" t="s">
        <v>3</v>
      </c>
      <c r="C7" s="53">
        <v>9212</v>
      </c>
      <c r="D7" s="185">
        <v>7145</v>
      </c>
      <c r="E7" s="31">
        <v>6983</v>
      </c>
      <c r="F7" s="198">
        <f t="shared" ref="F7:F10" si="2">(E7-D7)/D7</f>
        <v>-2.2673198040587823E-2</v>
      </c>
      <c r="G7" s="53">
        <v>6541</v>
      </c>
      <c r="H7" s="53">
        <v>5545</v>
      </c>
      <c r="I7" s="31">
        <v>6115</v>
      </c>
      <c r="J7" s="198">
        <f t="shared" ref="J7:J9" si="3">(I7-H7)/H7</f>
        <v>0.10279531109107304</v>
      </c>
      <c r="K7" s="53">
        <v>7640</v>
      </c>
      <c r="L7" s="53">
        <v>6285</v>
      </c>
      <c r="M7" s="216">
        <v>7564</v>
      </c>
      <c r="N7" s="53">
        <f t="shared" ref="N7:N9" si="4">SUM(C7,G7,K7)</f>
        <v>23393</v>
      </c>
      <c r="O7" s="53">
        <f t="shared" ref="O7:O9" si="5">SUM(D7,H7,L7)</f>
        <v>18975</v>
      </c>
      <c r="P7" s="53">
        <f t="shared" ref="P7:P9" si="6">SUM(E7,I7,M7)</f>
        <v>20662</v>
      </c>
      <c r="Q7" s="222">
        <f t="shared" ref="Q7:Q10" si="7">(M7-L7)/L7</f>
        <v>0.20350039777247414</v>
      </c>
      <c r="R7" s="53">
        <v>6283</v>
      </c>
      <c r="S7" s="53">
        <v>3958</v>
      </c>
      <c r="T7" s="53">
        <v>6555</v>
      </c>
      <c r="U7" s="49">
        <f t="shared" ref="U7:U10" si="8">(T7-S7)/S7</f>
        <v>0.6561394643759475</v>
      </c>
      <c r="V7" s="53">
        <v>6818</v>
      </c>
      <c r="W7" s="31">
        <v>3342</v>
      </c>
      <c r="X7" s="23">
        <v>6188</v>
      </c>
      <c r="Y7" s="49">
        <f t="shared" ref="Y7:Y10" si="9">(X7-W7)/W7</f>
        <v>0.85158587672052666</v>
      </c>
      <c r="Z7" s="53">
        <v>7643</v>
      </c>
      <c r="AA7" s="31">
        <v>4113</v>
      </c>
      <c r="AB7" s="53">
        <v>6044</v>
      </c>
      <c r="AC7" s="53">
        <f t="shared" ref="AC7:AC10" si="10">SUM(R7,V7,Z7)</f>
        <v>20744</v>
      </c>
      <c r="AD7" s="53">
        <f t="shared" si="0"/>
        <v>11413</v>
      </c>
      <c r="AE7" s="53">
        <f t="shared" si="0"/>
        <v>18787</v>
      </c>
      <c r="AF7" s="49">
        <f t="shared" ref="AF7:AF10" si="11">(AB7-AA7)/AA7</f>
        <v>0.46948699246292241</v>
      </c>
      <c r="AG7" s="49"/>
      <c r="AH7" s="31"/>
      <c r="AI7" s="53"/>
      <c r="AJ7" s="49"/>
      <c r="AK7" s="49"/>
      <c r="AL7" s="31"/>
      <c r="AM7" s="53"/>
      <c r="AN7" s="49"/>
      <c r="AO7" s="49"/>
      <c r="AP7" s="53"/>
      <c r="AQ7" s="52"/>
      <c r="AR7" s="52"/>
      <c r="AS7" s="52"/>
      <c r="AT7" s="52"/>
      <c r="AU7" s="49"/>
      <c r="AV7" s="49"/>
      <c r="AW7" s="31"/>
      <c r="AX7" s="53"/>
      <c r="AY7" s="49"/>
      <c r="AZ7" s="49"/>
      <c r="BA7" s="71"/>
      <c r="BB7" s="53"/>
      <c r="BC7" s="49"/>
      <c r="BD7" s="49"/>
      <c r="BE7" s="155"/>
      <c r="BF7" s="71"/>
      <c r="BG7" s="71"/>
      <c r="BH7" s="71"/>
      <c r="BI7" s="71"/>
      <c r="BJ7" s="49"/>
      <c r="BK7" s="145">
        <f t="shared" ref="BK7:BK9" si="12">SUM(C7,G7,K7,R7,V7,Z7,AG7,AK7,AO7,AV7,AZ7,BD7)</f>
        <v>44137</v>
      </c>
      <c r="BL7" s="145">
        <f t="shared" ref="BL7:BL9" si="13">SUM(D7,H7,L7,S7,W7,AA7,AH7,AL7,AP7,AW7,BA7,BE7)</f>
        <v>30388</v>
      </c>
      <c r="BM7" s="145">
        <f t="shared" ref="BM7:BM9" si="14">SUM(E7,I7,M7,T7,X7,AB7,AI7,AM7,AQ7,AX7,BB7,BF7)</f>
        <v>39449</v>
      </c>
      <c r="BN7" s="59">
        <f t="shared" ref="BN7:BN9" si="15">(BM7-BL7)/BL7</f>
        <v>0.29817691193892326</v>
      </c>
    </row>
    <row r="8" spans="2:69">
      <c r="B8" s="248" t="s">
        <v>4</v>
      </c>
      <c r="C8" s="53">
        <v>1975</v>
      </c>
      <c r="D8" s="185">
        <v>1518</v>
      </c>
      <c r="E8" s="31">
        <v>1353</v>
      </c>
      <c r="F8" s="198">
        <f t="shared" si="2"/>
        <v>-0.10869565217391304</v>
      </c>
      <c r="G8" s="53">
        <v>1317</v>
      </c>
      <c r="H8" s="53">
        <v>1063</v>
      </c>
      <c r="I8" s="31">
        <v>1038</v>
      </c>
      <c r="J8" s="198">
        <f t="shared" si="3"/>
        <v>-2.3518344308560677E-2</v>
      </c>
      <c r="K8" s="53">
        <v>1546</v>
      </c>
      <c r="L8" s="53">
        <v>1200</v>
      </c>
      <c r="M8" s="216">
        <v>1230</v>
      </c>
      <c r="N8" s="53">
        <f t="shared" si="4"/>
        <v>4838</v>
      </c>
      <c r="O8" s="53">
        <f t="shared" si="5"/>
        <v>3781</v>
      </c>
      <c r="P8" s="53">
        <f t="shared" si="6"/>
        <v>3621</v>
      </c>
      <c r="Q8" s="222">
        <f t="shared" si="7"/>
        <v>2.5000000000000001E-2</v>
      </c>
      <c r="R8" s="53">
        <v>1593</v>
      </c>
      <c r="S8" s="53">
        <v>799</v>
      </c>
      <c r="T8" s="53">
        <v>1068</v>
      </c>
      <c r="U8" s="49">
        <f t="shared" si="8"/>
        <v>0.33667083854818525</v>
      </c>
      <c r="V8" s="53">
        <v>1641</v>
      </c>
      <c r="W8" s="31">
        <v>599</v>
      </c>
      <c r="X8" s="31">
        <v>981</v>
      </c>
      <c r="Y8" s="49">
        <f t="shared" si="9"/>
        <v>0.63772954924874792</v>
      </c>
      <c r="Z8" s="53">
        <v>2177</v>
      </c>
      <c r="AA8" s="31">
        <v>675</v>
      </c>
      <c r="AB8" s="53">
        <v>1090</v>
      </c>
      <c r="AC8" s="53">
        <f t="shared" si="10"/>
        <v>5411</v>
      </c>
      <c r="AD8" s="53">
        <f t="shared" si="0"/>
        <v>2073</v>
      </c>
      <c r="AE8" s="53">
        <f t="shared" si="0"/>
        <v>3139</v>
      </c>
      <c r="AF8" s="49">
        <f t="shared" si="11"/>
        <v>0.61481481481481481</v>
      </c>
      <c r="AG8" s="49"/>
      <c r="AH8" s="31"/>
      <c r="AI8" s="53"/>
      <c r="AJ8" s="49"/>
      <c r="AK8" s="49"/>
      <c r="AL8" s="31"/>
      <c r="AM8" s="53"/>
      <c r="AN8" s="49"/>
      <c r="AO8" s="49"/>
      <c r="AP8" s="31"/>
      <c r="AQ8" s="10"/>
      <c r="AR8" s="52"/>
      <c r="AS8" s="52"/>
      <c r="AT8" s="52"/>
      <c r="AU8" s="49"/>
      <c r="AV8" s="49"/>
      <c r="AW8" s="31"/>
      <c r="AX8" s="53"/>
      <c r="AY8" s="49"/>
      <c r="AZ8" s="49"/>
      <c r="BA8" s="71"/>
      <c r="BB8" s="53"/>
      <c r="BC8" s="49"/>
      <c r="BD8" s="49"/>
      <c r="BE8" s="155"/>
      <c r="BF8" s="71"/>
      <c r="BG8" s="71"/>
      <c r="BH8" s="71"/>
      <c r="BI8" s="71"/>
      <c r="BJ8" s="49"/>
      <c r="BK8" s="145">
        <f t="shared" si="12"/>
        <v>10249</v>
      </c>
      <c r="BL8" s="145">
        <f t="shared" si="13"/>
        <v>5854</v>
      </c>
      <c r="BM8" s="145">
        <f t="shared" si="14"/>
        <v>6760</v>
      </c>
      <c r="BN8" s="59">
        <f t="shared" si="15"/>
        <v>0.15476597198496755</v>
      </c>
    </row>
    <row r="9" spans="2:69">
      <c r="B9" s="248" t="s">
        <v>5</v>
      </c>
      <c r="C9" s="53">
        <v>79</v>
      </c>
      <c r="D9" s="185">
        <v>62</v>
      </c>
      <c r="E9" s="71">
        <v>30</v>
      </c>
      <c r="F9" s="198">
        <f t="shared" si="2"/>
        <v>-0.5161290322580645</v>
      </c>
      <c r="G9" s="53">
        <v>17</v>
      </c>
      <c r="H9" s="53">
        <v>104</v>
      </c>
      <c r="I9" s="31">
        <v>39</v>
      </c>
      <c r="J9" s="198">
        <f t="shared" si="3"/>
        <v>-0.625</v>
      </c>
      <c r="K9" s="53">
        <v>75</v>
      </c>
      <c r="L9" s="53">
        <v>62</v>
      </c>
      <c r="M9" s="216">
        <v>34</v>
      </c>
      <c r="N9" s="53">
        <f t="shared" si="4"/>
        <v>171</v>
      </c>
      <c r="O9" s="53">
        <f t="shared" si="5"/>
        <v>228</v>
      </c>
      <c r="P9" s="53">
        <f t="shared" si="6"/>
        <v>103</v>
      </c>
      <c r="Q9" s="222">
        <f t="shared" si="7"/>
        <v>-0.45161290322580644</v>
      </c>
      <c r="R9" s="53">
        <v>76</v>
      </c>
      <c r="S9" s="53">
        <v>23</v>
      </c>
      <c r="T9" s="53">
        <v>27</v>
      </c>
      <c r="U9" s="49">
        <f t="shared" si="8"/>
        <v>0.17391304347826086</v>
      </c>
      <c r="V9" s="53">
        <v>56</v>
      </c>
      <c r="W9" s="31">
        <v>11</v>
      </c>
      <c r="X9" s="31">
        <v>9</v>
      </c>
      <c r="Y9" s="49">
        <f t="shared" si="9"/>
        <v>-0.18181818181818182</v>
      </c>
      <c r="Z9" s="53">
        <v>98</v>
      </c>
      <c r="AA9" s="10">
        <v>19</v>
      </c>
      <c r="AB9" s="53">
        <v>39</v>
      </c>
      <c r="AC9" s="53">
        <f t="shared" si="10"/>
        <v>230</v>
      </c>
      <c r="AD9" s="53">
        <f t="shared" si="0"/>
        <v>53</v>
      </c>
      <c r="AE9" s="53">
        <f t="shared" si="0"/>
        <v>75</v>
      </c>
      <c r="AF9" s="49">
        <f t="shared" si="11"/>
        <v>1.0526315789473684</v>
      </c>
      <c r="AG9" s="49"/>
      <c r="AH9" s="10"/>
      <c r="AI9" s="53"/>
      <c r="AJ9" s="49"/>
      <c r="AK9" s="49"/>
      <c r="AL9" s="31"/>
      <c r="AM9" s="53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71"/>
      <c r="BB9" s="191"/>
      <c r="BC9" s="49"/>
      <c r="BD9" s="49"/>
      <c r="BE9" s="155"/>
      <c r="BF9" s="71"/>
      <c r="BG9" s="71"/>
      <c r="BH9" s="71"/>
      <c r="BI9" s="71"/>
      <c r="BJ9" s="49"/>
      <c r="BK9" s="145">
        <f t="shared" si="12"/>
        <v>401</v>
      </c>
      <c r="BL9" s="145">
        <f t="shared" si="13"/>
        <v>281</v>
      </c>
      <c r="BM9" s="145">
        <f t="shared" si="14"/>
        <v>178</v>
      </c>
      <c r="BN9" s="59">
        <f t="shared" si="15"/>
        <v>-0.36654804270462632</v>
      </c>
    </row>
    <row r="10" spans="2:69" s="9" customFormat="1">
      <c r="B10" s="249" t="s">
        <v>7</v>
      </c>
      <c r="C10" s="187">
        <f>SUM(C6:C9)</f>
        <v>58430</v>
      </c>
      <c r="D10" s="187">
        <f>SUM(D6:D9)</f>
        <v>52741</v>
      </c>
      <c r="E10" s="15">
        <f>SUM(E6:E9)</f>
        <v>43373</v>
      </c>
      <c r="F10" s="199">
        <f t="shared" si="2"/>
        <v>-0.17762272236021312</v>
      </c>
      <c r="G10" s="145">
        <f>SUM(G6:G9)</f>
        <v>37655</v>
      </c>
      <c r="H10" s="15">
        <f>SUM(H6:H9)</f>
        <v>36377</v>
      </c>
      <c r="I10" s="15">
        <f>SUM(I6:I9)</f>
        <v>28884</v>
      </c>
      <c r="J10" s="50">
        <f>(I10-H10)/H10</f>
        <v>-0.20598180168787972</v>
      </c>
      <c r="K10" s="145">
        <f>SUM(K6:K9)</f>
        <v>47768</v>
      </c>
      <c r="L10" s="15">
        <f>SUM(L6:L9)</f>
        <v>36919</v>
      </c>
      <c r="M10" s="15">
        <f>SUM(M6:M9)</f>
        <v>32996</v>
      </c>
      <c r="N10" s="227">
        <f>SUM(N6:N9)</f>
        <v>143853</v>
      </c>
      <c r="O10" s="227">
        <f t="shared" ref="O10:P10" si="16">SUM(O6:O9)</f>
        <v>126037</v>
      </c>
      <c r="P10" s="227">
        <f t="shared" si="16"/>
        <v>105253</v>
      </c>
      <c r="Q10" s="223">
        <f t="shared" si="7"/>
        <v>-0.10625964950296596</v>
      </c>
      <c r="R10" s="145">
        <f>SUM(R6:R9)</f>
        <v>40653</v>
      </c>
      <c r="S10" s="145">
        <f>SUM(S6:S9)</f>
        <v>20102</v>
      </c>
      <c r="T10" s="145">
        <f>SUM(T6:T9)</f>
        <v>31496</v>
      </c>
      <c r="U10" s="50">
        <f t="shared" si="8"/>
        <v>0.56680927270918313</v>
      </c>
      <c r="V10" s="145">
        <f>SUM(V6:V9)</f>
        <v>45117</v>
      </c>
      <c r="W10" s="15">
        <f>SUM(W6:W9)</f>
        <v>18794</v>
      </c>
      <c r="X10" s="145">
        <f>SUM(X6:X9)</f>
        <v>32779</v>
      </c>
      <c r="Y10" s="50">
        <f t="shared" si="9"/>
        <v>0.74412046397786524</v>
      </c>
      <c r="Z10" s="145">
        <f>SUM(Z6:Z9)</f>
        <v>50944</v>
      </c>
      <c r="AA10" s="15">
        <f>SUM(AA6:AA9)</f>
        <v>29561</v>
      </c>
      <c r="AB10" s="15">
        <f>SUM(AB6:AB9)</f>
        <v>40491</v>
      </c>
      <c r="AC10" s="145">
        <f t="shared" si="10"/>
        <v>136714</v>
      </c>
      <c r="AD10" s="145">
        <f t="shared" si="0"/>
        <v>68457</v>
      </c>
      <c r="AE10" s="145">
        <f t="shared" si="0"/>
        <v>104766</v>
      </c>
      <c r="AF10" s="50">
        <f t="shared" si="11"/>
        <v>0.36974391935320183</v>
      </c>
      <c r="AG10" s="50"/>
      <c r="AH10" s="15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145"/>
      <c r="BC10" s="50"/>
      <c r="BD10" s="50"/>
      <c r="BE10" s="145"/>
      <c r="BF10" s="145"/>
      <c r="BG10" s="145"/>
      <c r="BH10" s="145"/>
      <c r="BI10" s="145"/>
      <c r="BJ10" s="50"/>
      <c r="BK10" s="145">
        <f>SUM(C10,G10,K10,R10,V10,Z10,AG10,AK10,AO10,AV10,AZ10,BD10)</f>
        <v>280567</v>
      </c>
      <c r="BL10" s="54">
        <f>SUM(D10,H10,L10,S10,W10,AA10,AH10,AL10,AP10,AW10,BA10,BE10)</f>
        <v>194494</v>
      </c>
      <c r="BM10" s="145">
        <f>SUM(E10,I10,M10,T10,X10,AB10,AI10,AM10,AQ10,AX10,BB10,BF10)</f>
        <v>210019</v>
      </c>
      <c r="BN10" s="30">
        <f>(BM10-BL10)/BL10</f>
        <v>7.9822513805053119E-2</v>
      </c>
      <c r="BP10" s="21"/>
      <c r="BQ10" s="20"/>
    </row>
    <row r="12" spans="2:69">
      <c r="B12" s="21" t="s">
        <v>102</v>
      </c>
      <c r="F12" s="314"/>
    </row>
    <row r="13" spans="2:69">
      <c r="B13" s="67" t="s">
        <v>99</v>
      </c>
      <c r="C13" s="67"/>
      <c r="D13" s="22"/>
      <c r="E13" s="22"/>
      <c r="F13" s="22"/>
      <c r="G13" s="63"/>
      <c r="H13" s="22"/>
      <c r="I13" s="22"/>
      <c r="BL13" s="142"/>
      <c r="BM13" s="142"/>
    </row>
    <row r="14" spans="2:69">
      <c r="B14" s="67" t="s">
        <v>133</v>
      </c>
      <c r="C14" s="67"/>
      <c r="AJ14" s="23"/>
      <c r="AK14" s="142"/>
      <c r="AL14" s="23"/>
      <c r="AM14" s="23"/>
      <c r="AN14" s="23"/>
      <c r="AO14" s="142"/>
      <c r="AP14" s="64"/>
      <c r="AQ14" s="64"/>
      <c r="AR14" s="142"/>
      <c r="AS14" s="142"/>
      <c r="AT14" s="142"/>
      <c r="AU14" s="64"/>
      <c r="AV14" s="142"/>
      <c r="AW14" s="64"/>
      <c r="AX14" s="64"/>
      <c r="AY14" s="23"/>
      <c r="AZ14" s="142"/>
      <c r="BA14" s="23"/>
      <c r="BB14" s="23"/>
      <c r="BC14" s="23"/>
      <c r="BD14" s="142"/>
    </row>
    <row r="15" spans="2:69">
      <c r="D15" s="23"/>
      <c r="E15" s="23"/>
      <c r="F15" s="23"/>
      <c r="G15" s="142"/>
      <c r="H15" s="23"/>
      <c r="I15" s="23"/>
      <c r="AJ15" s="23"/>
      <c r="AK15" s="142"/>
      <c r="AL15" s="23"/>
      <c r="AM15" s="23"/>
      <c r="AN15" s="23"/>
      <c r="AO15" s="142"/>
      <c r="AP15" s="64"/>
      <c r="AQ15" s="64"/>
      <c r="AR15" s="142"/>
      <c r="AS15" s="142"/>
      <c r="AT15" s="142"/>
      <c r="AU15" s="64"/>
      <c r="AV15" s="142"/>
      <c r="AW15" s="64"/>
      <c r="AX15" s="64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Z16" s="316"/>
      <c r="AA16" s="316"/>
      <c r="AB16" s="316"/>
      <c r="AC16" s="316"/>
      <c r="AD16" s="316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2:56">
      <c r="B17" s="316"/>
      <c r="C17" s="316"/>
      <c r="D17" s="316"/>
      <c r="E17" s="316"/>
      <c r="F17" s="316"/>
      <c r="G17" s="316"/>
      <c r="H17" s="316"/>
      <c r="I17" s="51"/>
      <c r="J17" s="51"/>
      <c r="L17" s="51"/>
      <c r="M17" s="51"/>
      <c r="Q17" s="51"/>
      <c r="Z17" s="316"/>
      <c r="AA17" s="316"/>
      <c r="AB17" s="316"/>
      <c r="AC17" s="316"/>
      <c r="AD17" s="316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2:56">
      <c r="B18" s="316"/>
      <c r="C18" s="316"/>
      <c r="D18" s="316"/>
      <c r="E18" s="316"/>
      <c r="F18" s="316"/>
      <c r="G18" s="316"/>
      <c r="H18" s="316"/>
      <c r="I18" s="51"/>
      <c r="J18" s="51"/>
      <c r="L18" s="51"/>
      <c r="M18" s="51"/>
      <c r="Q18" s="51"/>
      <c r="Z18" s="316"/>
      <c r="AA18" s="316"/>
      <c r="AB18" s="316"/>
      <c r="AC18" s="316"/>
      <c r="AD18" s="316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2:56">
      <c r="B19" s="316"/>
      <c r="C19" s="316"/>
      <c r="D19" s="316"/>
      <c r="E19" s="316"/>
      <c r="F19" s="316"/>
      <c r="G19" s="316"/>
      <c r="H19" s="316"/>
      <c r="I19" s="51"/>
      <c r="J19" s="51"/>
      <c r="L19" s="51"/>
      <c r="M19" s="51"/>
      <c r="Q19" s="51"/>
      <c r="Z19" s="316"/>
      <c r="AA19" s="142"/>
      <c r="AB19" s="142"/>
      <c r="AC19" s="142"/>
      <c r="AD19" s="341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2:56">
      <c r="B20" s="316"/>
      <c r="C20" s="316"/>
      <c r="D20" s="316"/>
      <c r="E20" s="316"/>
      <c r="F20" s="316"/>
      <c r="G20" s="316"/>
      <c r="H20" s="316"/>
      <c r="I20" s="51"/>
      <c r="J20" s="51"/>
      <c r="L20" s="51"/>
      <c r="M20" s="51"/>
      <c r="Q20" s="51"/>
      <c r="Z20" s="316"/>
      <c r="AA20" s="142"/>
      <c r="AB20" s="142"/>
      <c r="AC20" s="316"/>
      <c r="AD20" s="316"/>
    </row>
    <row r="21" spans="2:56">
      <c r="B21" s="316"/>
      <c r="C21" s="316"/>
      <c r="D21" s="316"/>
      <c r="E21" s="316"/>
      <c r="F21" s="316"/>
      <c r="G21" s="316"/>
      <c r="H21" s="316"/>
      <c r="I21" s="51"/>
      <c r="J21" s="51"/>
      <c r="L21" s="51"/>
      <c r="M21" s="51"/>
      <c r="Q21" s="51"/>
      <c r="Z21" s="316"/>
      <c r="AA21" s="142"/>
      <c r="AB21" s="316"/>
      <c r="AC21" s="316"/>
      <c r="AD21" s="316"/>
    </row>
    <row r="22" spans="2:56">
      <c r="B22" s="316"/>
      <c r="C22" s="316"/>
      <c r="D22" s="316"/>
      <c r="E22" s="316"/>
      <c r="F22" s="316"/>
      <c r="G22" s="316"/>
      <c r="H22" s="316"/>
      <c r="I22" s="51"/>
      <c r="J22" s="51"/>
      <c r="L22" s="51"/>
      <c r="M22" s="51"/>
      <c r="Q22" s="51"/>
      <c r="Z22" s="316"/>
      <c r="AA22" s="316"/>
      <c r="AB22" s="316"/>
      <c r="AC22" s="316"/>
      <c r="AD22" s="316"/>
    </row>
    <row r="23" spans="2:56">
      <c r="B23" s="316"/>
      <c r="C23" s="316"/>
      <c r="D23" s="316"/>
      <c r="E23" s="316"/>
      <c r="F23" s="316"/>
      <c r="G23" s="316"/>
      <c r="H23" s="316"/>
      <c r="I23" s="51"/>
      <c r="J23" s="51"/>
      <c r="L23" s="51"/>
      <c r="M23" s="51"/>
      <c r="Q23" s="51"/>
      <c r="Z23" s="316"/>
      <c r="AA23" s="142"/>
      <c r="AB23" s="142"/>
      <c r="AC23" s="316"/>
      <c r="AD23" s="316"/>
    </row>
    <row r="24" spans="2:56">
      <c r="B24" s="316"/>
      <c r="C24" s="316"/>
      <c r="D24" s="316"/>
      <c r="E24" s="316"/>
      <c r="F24" s="316"/>
      <c r="G24" s="316"/>
      <c r="H24" s="316"/>
      <c r="I24" s="51"/>
      <c r="J24" s="51"/>
      <c r="L24" s="51"/>
      <c r="M24" s="51"/>
      <c r="Q24" s="51"/>
      <c r="Z24" s="316"/>
      <c r="AA24" s="316"/>
      <c r="AB24" s="316"/>
      <c r="AC24" s="316"/>
      <c r="AD24" s="316"/>
    </row>
    <row r="25" spans="2:56">
      <c r="B25" s="316"/>
      <c r="C25" s="316"/>
      <c r="D25" s="316"/>
      <c r="E25" s="316"/>
      <c r="F25" s="316"/>
      <c r="G25" s="316"/>
      <c r="H25" s="316"/>
      <c r="Z25" s="316"/>
      <c r="AA25" s="316"/>
      <c r="AB25" s="316"/>
      <c r="AC25" s="316"/>
      <c r="AD25" s="316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3" r:id="rId1" xr:uid="{01AE6901-2643-4EE5-91F0-55B8232B82F8}"/>
    <hyperlink ref="B14" r:id="rId2" xr:uid="{72179175-96B7-4E68-BC4D-6C789AE933A5}"/>
  </hyperlinks>
  <pageMargins left="0.7" right="0.7" top="0.78740157499999996" bottom="0.78740157499999996" header="0.3" footer="0.3"/>
  <pageSetup paperSize="9" orientation="portrait" r:id="rId3"/>
  <ignoredErrors>
    <ignoredError sqref="C10:E10 G10:I10 K10:M10 R10 V10 Z10:AB10 W10:X10 S10:T10" formulaRange="1"/>
    <ignoredError sqref="J10 Q10 Y10 U10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660B-EFC2-4855-9548-629581D4996C}">
  <dimension ref="A1:BQ36"/>
  <sheetViews>
    <sheetView topLeftCell="B1" zoomScaleNormal="100" workbookViewId="0">
      <pane xSplit="1" topLeftCell="AV1" activePane="topRight" state="frozen"/>
      <selection activeCell="G14" sqref="G14"/>
      <selection pane="topRight" activeCell="BK6" sqref="BK6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9.2851562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8.855468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42578125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9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9.85546875" style="21" bestFit="1" customWidth="1"/>
    <col min="48" max="48" width="9.85546875" style="51" customWidth="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63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9004</v>
      </c>
      <c r="D6" s="185">
        <v>9561</v>
      </c>
      <c r="E6" s="31">
        <v>10301</v>
      </c>
      <c r="F6" s="198">
        <f>(E6-D6)/D6</f>
        <v>7.739776174040372E-2</v>
      </c>
      <c r="G6" s="53">
        <v>11106</v>
      </c>
      <c r="H6" s="185">
        <v>10346</v>
      </c>
      <c r="I6" s="31">
        <v>10687</v>
      </c>
      <c r="J6" s="198">
        <f>(I6-H6)/H6</f>
        <v>3.2959597912236613E-2</v>
      </c>
      <c r="K6" s="280">
        <v>18375</v>
      </c>
      <c r="L6" s="185">
        <v>12451</v>
      </c>
      <c r="M6" s="216">
        <v>15321</v>
      </c>
      <c r="N6" s="53">
        <f>SUM(C6,G6,K6)</f>
        <v>38485</v>
      </c>
      <c r="O6" s="53">
        <f>SUM(D6,H6,L6)</f>
        <v>32358</v>
      </c>
      <c r="P6" s="53">
        <f>SUM(E6,I6,M6)</f>
        <v>36309</v>
      </c>
      <c r="Q6" s="222">
        <f>(M6-L6)/L6</f>
        <v>0.23050357401011967</v>
      </c>
      <c r="R6" s="53">
        <v>11255</v>
      </c>
      <c r="S6" s="53">
        <v>7425</v>
      </c>
      <c r="T6" s="53">
        <v>13166</v>
      </c>
      <c r="U6" s="49">
        <f>(T6-S6)/S6</f>
        <v>0.77319865319865322</v>
      </c>
      <c r="V6" s="53">
        <v>13117</v>
      </c>
      <c r="W6" s="53">
        <v>7998</v>
      </c>
      <c r="X6" s="53">
        <v>14063</v>
      </c>
      <c r="Y6" s="49">
        <f>(X6-W6)/W6</f>
        <v>0.75831457864466112</v>
      </c>
      <c r="Z6" s="53">
        <v>15352</v>
      </c>
      <c r="AA6" s="53">
        <v>11443</v>
      </c>
      <c r="AB6" s="53">
        <v>20392</v>
      </c>
      <c r="AC6" s="53">
        <f>SUM(R6,V6,Z6)</f>
        <v>39724</v>
      </c>
      <c r="AD6" s="53">
        <f>SUM(S6,W6,AA6)</f>
        <v>26866</v>
      </c>
      <c r="AE6" s="53">
        <f>SUM(T6,X6,AB6)</f>
        <v>47621</v>
      </c>
      <c r="AF6" s="49">
        <f>(AB6-AA6)/AA6</f>
        <v>0.78205016167089048</v>
      </c>
      <c r="AG6" s="49"/>
      <c r="AH6" s="53"/>
      <c r="AI6" s="53"/>
      <c r="AJ6" s="49"/>
      <c r="AK6" s="49"/>
      <c r="AL6" s="53"/>
      <c r="AM6" s="53"/>
      <c r="AN6" s="49"/>
      <c r="AO6" s="49"/>
      <c r="AP6" s="53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143"/>
      <c r="BB6" s="143"/>
      <c r="BC6" s="49"/>
      <c r="BD6" s="49"/>
      <c r="BE6" s="143"/>
      <c r="BF6" s="143"/>
      <c r="BG6" s="53"/>
      <c r="BH6" s="53"/>
      <c r="BI6" s="53"/>
      <c r="BJ6" s="49"/>
      <c r="BK6" s="145">
        <f>SUM(C6,G6,K6,R6,V6,Z6,AG6,AK6,AO6,AV6,AZ6,BD6)</f>
        <v>78209</v>
      </c>
      <c r="BL6" s="54">
        <f>SUM(D6,H6,L6,S6,W6,AA6,AH6,AL6,AP6,AW6,BA6,BE6)</f>
        <v>59224</v>
      </c>
      <c r="BM6" s="145">
        <f>SUM(E6,I6,M6,T6,X6,AB6,AI6,AM6,AQ6,AX6,BB6,BF6)</f>
        <v>83930</v>
      </c>
      <c r="BN6" s="32">
        <f>(BM6-BL6)/BL6</f>
        <v>0.41716196136701339</v>
      </c>
    </row>
    <row r="7" spans="2:69">
      <c r="B7" s="248" t="s">
        <v>3</v>
      </c>
      <c r="C7" s="53">
        <v>2705</v>
      </c>
      <c r="D7" s="185">
        <v>2716</v>
      </c>
      <c r="E7" s="31">
        <v>2344</v>
      </c>
      <c r="F7" s="198">
        <f>(E7-D7)/D7</f>
        <v>-0.13696612665684832</v>
      </c>
      <c r="G7" s="53">
        <v>2742</v>
      </c>
      <c r="H7" s="185">
        <v>2727</v>
      </c>
      <c r="I7" s="31">
        <v>2741</v>
      </c>
      <c r="J7" s="198">
        <f t="shared" ref="J7:J9" si="0">(I7-H7)/H7</f>
        <v>5.1338467180051337E-3</v>
      </c>
      <c r="K7" s="280">
        <v>3472</v>
      </c>
      <c r="L7" s="185">
        <v>2753</v>
      </c>
      <c r="M7" s="216">
        <v>3381</v>
      </c>
      <c r="N7" s="53">
        <f t="shared" ref="N7:N9" si="1">SUM(C7,G7,K7)</f>
        <v>8919</v>
      </c>
      <c r="O7" s="53">
        <f t="shared" ref="O7:O9" si="2">SUM(D7,H7,L7)</f>
        <v>8196</v>
      </c>
      <c r="P7" s="53">
        <f t="shared" ref="P7:P9" si="3">SUM(E7,I7,M7)</f>
        <v>8466</v>
      </c>
      <c r="Q7" s="222">
        <f t="shared" ref="Q7:Q10" si="4">(M7-L7)/L7</f>
        <v>0.22811478387213949</v>
      </c>
      <c r="R7" s="53">
        <v>3543</v>
      </c>
      <c r="S7" s="53">
        <v>2150</v>
      </c>
      <c r="T7" s="53">
        <v>3476</v>
      </c>
      <c r="U7" s="49">
        <f t="shared" ref="U7:U10" si="5">(T7-S7)/S7</f>
        <v>0.6167441860465116</v>
      </c>
      <c r="V7" s="53">
        <v>3580</v>
      </c>
      <c r="W7" s="53">
        <v>2179</v>
      </c>
      <c r="X7" s="53">
        <v>2904</v>
      </c>
      <c r="Y7" s="49">
        <f t="shared" ref="Y7:Y10" si="6">(X7-W7)/W7</f>
        <v>0.33272143184947223</v>
      </c>
      <c r="Z7" s="53">
        <v>3505</v>
      </c>
      <c r="AA7" s="53">
        <v>2557</v>
      </c>
      <c r="AB7" s="53">
        <v>3487</v>
      </c>
      <c r="AC7" s="53">
        <f t="shared" ref="AC7:AC10" si="7">SUM(R7,V7,Z7)</f>
        <v>10628</v>
      </c>
      <c r="AD7" s="53">
        <f t="shared" ref="AD7:AD10" si="8">SUM(S7,W7,AA7)</f>
        <v>6886</v>
      </c>
      <c r="AE7" s="53">
        <f t="shared" ref="AE7:AE10" si="9">SUM(T7,X7,AB7)</f>
        <v>9867</v>
      </c>
      <c r="AF7" s="49">
        <f t="shared" ref="AF7:AF10" si="10">(AB7-AA7)/AA7</f>
        <v>0.36370746969104417</v>
      </c>
      <c r="AG7" s="49"/>
      <c r="AH7" s="53"/>
      <c r="AI7" s="64"/>
      <c r="AJ7" s="49"/>
      <c r="AK7" s="49"/>
      <c r="AL7" s="53"/>
      <c r="AM7" s="53"/>
      <c r="AN7" s="49"/>
      <c r="AO7" s="49"/>
      <c r="AP7" s="53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143"/>
      <c r="BB7" s="143"/>
      <c r="BC7" s="49"/>
      <c r="BD7" s="49"/>
      <c r="BE7" s="143"/>
      <c r="BF7" s="143"/>
      <c r="BG7" s="53"/>
      <c r="BH7" s="53"/>
      <c r="BI7" s="53"/>
      <c r="BJ7" s="49"/>
      <c r="BK7" s="145">
        <f t="shared" ref="BK7:BK10" si="11">SUM(C7,G7,K7,R7,V7,Z7,AG7,AK7,AO7,AV7,AZ7,BD7)</f>
        <v>19547</v>
      </c>
      <c r="BL7" s="145">
        <f t="shared" ref="BL7:BL9" si="12">SUM(D7,H7,L7,S7,W7,AA7,AH7,AL7,AP7,AW7,BA7,BE7)</f>
        <v>15082</v>
      </c>
      <c r="BM7" s="145">
        <f t="shared" ref="BM7:BM9" si="13">SUM(E7,I7,M7,T7,X7,AB7,AI7,AM7,AQ7,AX7,BB7,BF7)</f>
        <v>18333</v>
      </c>
      <c r="BN7" s="32">
        <f>(BM7-BL7)/BL7</f>
        <v>0.21555496618485612</v>
      </c>
    </row>
    <row r="8" spans="2:69">
      <c r="B8" s="248" t="s">
        <v>4</v>
      </c>
      <c r="C8" s="53">
        <v>555</v>
      </c>
      <c r="D8" s="185">
        <v>571</v>
      </c>
      <c r="E8" s="31">
        <v>508</v>
      </c>
      <c r="F8" s="198">
        <f>(E8-D8)/D8</f>
        <v>-0.11033274956217162</v>
      </c>
      <c r="G8" s="53">
        <v>478</v>
      </c>
      <c r="H8" s="185">
        <v>309</v>
      </c>
      <c r="I8" s="31">
        <v>342</v>
      </c>
      <c r="J8" s="198">
        <f t="shared" si="0"/>
        <v>0.10679611650485436</v>
      </c>
      <c r="K8" s="283">
        <v>615</v>
      </c>
      <c r="L8" s="185">
        <v>472</v>
      </c>
      <c r="M8" s="216">
        <v>523</v>
      </c>
      <c r="N8" s="53">
        <f t="shared" si="1"/>
        <v>1648</v>
      </c>
      <c r="O8" s="53">
        <f t="shared" si="2"/>
        <v>1352</v>
      </c>
      <c r="P8" s="53">
        <f t="shared" si="3"/>
        <v>1373</v>
      </c>
      <c r="Q8" s="222">
        <f t="shared" si="4"/>
        <v>0.10805084745762712</v>
      </c>
      <c r="R8" s="53">
        <v>705</v>
      </c>
      <c r="S8" s="53">
        <v>594</v>
      </c>
      <c r="T8" s="53">
        <v>543</v>
      </c>
      <c r="U8" s="49">
        <f t="shared" si="5"/>
        <v>-8.5858585858585856E-2</v>
      </c>
      <c r="V8" s="53">
        <v>761</v>
      </c>
      <c r="W8" s="53">
        <v>613</v>
      </c>
      <c r="X8" s="53">
        <v>584</v>
      </c>
      <c r="Y8" s="49">
        <f t="shared" si="6"/>
        <v>-4.730831973898858E-2</v>
      </c>
      <c r="Z8" s="53">
        <v>708</v>
      </c>
      <c r="AA8" s="53">
        <v>635</v>
      </c>
      <c r="AB8" s="52">
        <v>695</v>
      </c>
      <c r="AC8" s="53">
        <f t="shared" si="7"/>
        <v>2174</v>
      </c>
      <c r="AD8" s="53">
        <f t="shared" si="8"/>
        <v>1842</v>
      </c>
      <c r="AE8" s="53">
        <f t="shared" si="9"/>
        <v>1822</v>
      </c>
      <c r="AF8" s="49">
        <f t="shared" si="10"/>
        <v>9.4488188976377951E-2</v>
      </c>
      <c r="AG8" s="49"/>
      <c r="AH8" s="53"/>
      <c r="AI8" s="53"/>
      <c r="AJ8" s="49"/>
      <c r="AK8" s="49"/>
      <c r="AL8" s="53"/>
      <c r="AM8" s="53"/>
      <c r="AN8" s="49"/>
      <c r="AO8" s="49"/>
      <c r="AP8" s="31"/>
      <c r="AQ8" s="10"/>
      <c r="AR8" s="52"/>
      <c r="AS8" s="52"/>
      <c r="AT8" s="52"/>
      <c r="AU8" s="49"/>
      <c r="AV8" s="49"/>
      <c r="AW8" s="31"/>
      <c r="AX8" s="53"/>
      <c r="AY8" s="49"/>
      <c r="AZ8" s="49"/>
      <c r="BA8" s="143"/>
      <c r="BB8" s="143"/>
      <c r="BC8" s="49"/>
      <c r="BD8" s="49"/>
      <c r="BE8" s="143"/>
      <c r="BF8" s="143"/>
      <c r="BG8" s="53"/>
      <c r="BH8" s="53"/>
      <c r="BI8" s="53"/>
      <c r="BJ8" s="49"/>
      <c r="BK8" s="145">
        <f t="shared" si="11"/>
        <v>3822</v>
      </c>
      <c r="BL8" s="145">
        <f t="shared" si="12"/>
        <v>3194</v>
      </c>
      <c r="BM8" s="145">
        <f t="shared" si="13"/>
        <v>3195</v>
      </c>
      <c r="BN8" s="32">
        <f>(BM8-BL8)/BL8</f>
        <v>3.1308703819661864E-4</v>
      </c>
    </row>
    <row r="9" spans="2:69">
      <c r="B9" s="248" t="s">
        <v>5</v>
      </c>
      <c r="C9" s="53">
        <v>43</v>
      </c>
      <c r="D9" s="185">
        <v>97</v>
      </c>
      <c r="E9" s="31">
        <v>45</v>
      </c>
      <c r="F9" s="198">
        <f>(E9-D9)/D9</f>
        <v>-0.53608247422680411</v>
      </c>
      <c r="G9" s="53">
        <v>41</v>
      </c>
      <c r="H9" s="185">
        <v>22</v>
      </c>
      <c r="I9" s="31">
        <v>25</v>
      </c>
      <c r="J9" s="198">
        <f t="shared" si="0"/>
        <v>0.13636363636363635</v>
      </c>
      <c r="K9" s="283">
        <v>69</v>
      </c>
      <c r="L9" s="185">
        <v>48</v>
      </c>
      <c r="M9" s="216">
        <v>42</v>
      </c>
      <c r="N9" s="53">
        <f t="shared" si="1"/>
        <v>153</v>
      </c>
      <c r="O9" s="53">
        <f t="shared" si="2"/>
        <v>167</v>
      </c>
      <c r="P9" s="53">
        <f t="shared" si="3"/>
        <v>112</v>
      </c>
      <c r="Q9" s="222">
        <f t="shared" si="4"/>
        <v>-0.125</v>
      </c>
      <c r="R9" s="53">
        <v>75</v>
      </c>
      <c r="S9" s="53">
        <v>114</v>
      </c>
      <c r="T9" s="53">
        <v>38</v>
      </c>
      <c r="U9" s="49">
        <f t="shared" si="5"/>
        <v>-0.66666666666666663</v>
      </c>
      <c r="V9" s="53">
        <v>198</v>
      </c>
      <c r="W9" s="53">
        <v>65</v>
      </c>
      <c r="X9" s="53">
        <v>32</v>
      </c>
      <c r="Y9" s="49">
        <f t="shared" si="6"/>
        <v>-0.50769230769230766</v>
      </c>
      <c r="Z9" s="52">
        <v>695</v>
      </c>
      <c r="AA9" s="52">
        <v>383</v>
      </c>
      <c r="AB9" s="52">
        <v>245</v>
      </c>
      <c r="AC9" s="53">
        <f t="shared" si="7"/>
        <v>968</v>
      </c>
      <c r="AD9" s="53">
        <f t="shared" si="8"/>
        <v>562</v>
      </c>
      <c r="AE9" s="53">
        <f t="shared" si="9"/>
        <v>315</v>
      </c>
      <c r="AF9" s="49">
        <f t="shared" si="10"/>
        <v>-0.36031331592689297</v>
      </c>
      <c r="AG9" s="49"/>
      <c r="AH9" s="53"/>
      <c r="AI9" s="53"/>
      <c r="AJ9" s="49"/>
      <c r="AK9" s="49"/>
      <c r="AL9" s="53"/>
      <c r="AM9" s="53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206"/>
      <c r="BA9" s="53"/>
      <c r="BB9" s="238"/>
      <c r="BC9" s="49"/>
      <c r="BD9" s="49"/>
      <c r="BE9" s="143"/>
      <c r="BF9" s="143"/>
      <c r="BG9" s="53"/>
      <c r="BH9" s="53"/>
      <c r="BI9" s="53"/>
      <c r="BJ9" s="49"/>
      <c r="BK9" s="145">
        <f t="shared" si="11"/>
        <v>1121</v>
      </c>
      <c r="BL9" s="145">
        <f t="shared" si="12"/>
        <v>729</v>
      </c>
      <c r="BM9" s="145">
        <f t="shared" si="13"/>
        <v>427</v>
      </c>
      <c r="BN9" s="32">
        <f>(BM9-BL9)/BL9</f>
        <v>-0.41426611796982166</v>
      </c>
    </row>
    <row r="10" spans="2:69" s="9" customFormat="1">
      <c r="B10" s="249" t="s">
        <v>7</v>
      </c>
      <c r="C10" s="187">
        <f>SUM(C6:C9)</f>
        <v>12307</v>
      </c>
      <c r="D10" s="187">
        <f>SUM(D6:D9)</f>
        <v>12945</v>
      </c>
      <c r="E10" s="15">
        <f>SUM(E6:E9)</f>
        <v>13198</v>
      </c>
      <c r="F10" s="50">
        <f>(E10-D10)/D10</f>
        <v>1.9544225569718039E-2</v>
      </c>
      <c r="G10" s="145">
        <f>SUM(G6:G9)</f>
        <v>14367</v>
      </c>
      <c r="H10" s="15">
        <f>SUM(H6:H9)</f>
        <v>13404</v>
      </c>
      <c r="I10" s="15">
        <f>SUM(I6:I9)</f>
        <v>13795</v>
      </c>
      <c r="J10" s="50">
        <f>(I10-H10)/H10</f>
        <v>2.9170396896448823E-2</v>
      </c>
      <c r="K10" s="145">
        <f>SUM(K6:K9)</f>
        <v>22531</v>
      </c>
      <c r="L10" s="15">
        <f>SUM(L6:L9)</f>
        <v>15724</v>
      </c>
      <c r="M10" s="15">
        <f>SUM(M6:M9)</f>
        <v>19267</v>
      </c>
      <c r="N10" s="227">
        <f>SUM(N6:N9)</f>
        <v>49205</v>
      </c>
      <c r="O10" s="227">
        <f t="shared" ref="O10:P10" si="14">SUM(O6:O9)</f>
        <v>42073</v>
      </c>
      <c r="P10" s="227">
        <f t="shared" si="14"/>
        <v>46260</v>
      </c>
      <c r="Q10" s="223">
        <f t="shared" si="4"/>
        <v>0.2253243449503943</v>
      </c>
      <c r="R10" s="145">
        <f>SUM(R6:R9)</f>
        <v>15578</v>
      </c>
      <c r="S10" s="145">
        <f>SUM(S6:S9)</f>
        <v>10283</v>
      </c>
      <c r="T10" s="15">
        <f>SUM(T6:T9)</f>
        <v>17223</v>
      </c>
      <c r="U10" s="50">
        <f t="shared" si="5"/>
        <v>0.67490032091801999</v>
      </c>
      <c r="V10" s="145">
        <f>SUM(V6:V9)</f>
        <v>17656</v>
      </c>
      <c r="W10" s="15">
        <f>SUM(W6:W9)</f>
        <v>10855</v>
      </c>
      <c r="X10" s="15">
        <f>SUM(X6:X9)</f>
        <v>17583</v>
      </c>
      <c r="Y10" s="50">
        <f t="shared" si="6"/>
        <v>0.6198065407646246</v>
      </c>
      <c r="Z10" s="145">
        <f>SUM(Z6:Z9)</f>
        <v>20260</v>
      </c>
      <c r="AA10" s="15">
        <f>SUM(AA6:AA9)</f>
        <v>15018</v>
      </c>
      <c r="AB10" s="145">
        <f>SUM(AB6:AB9)</f>
        <v>24819</v>
      </c>
      <c r="AC10" s="145">
        <f t="shared" si="7"/>
        <v>53494</v>
      </c>
      <c r="AD10" s="145">
        <f t="shared" si="8"/>
        <v>36156</v>
      </c>
      <c r="AE10" s="145">
        <f t="shared" si="9"/>
        <v>59625</v>
      </c>
      <c r="AF10" s="50">
        <f t="shared" si="10"/>
        <v>0.6526168597682781</v>
      </c>
      <c r="AG10" s="50"/>
      <c r="AH10" s="54"/>
      <c r="AI10" s="54"/>
      <c r="AJ10" s="50"/>
      <c r="AK10" s="50"/>
      <c r="AL10" s="54"/>
      <c r="AM10" s="15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145"/>
      <c r="BC10" s="50"/>
      <c r="BD10" s="50"/>
      <c r="BE10" s="145"/>
      <c r="BF10" s="145"/>
      <c r="BG10" s="145"/>
      <c r="BH10" s="145"/>
      <c r="BI10" s="145"/>
      <c r="BJ10" s="50"/>
      <c r="BK10" s="145">
        <f t="shared" si="11"/>
        <v>102699</v>
      </c>
      <c r="BL10" s="15">
        <f>SUM(D10,H10,L10,S10,W10,AA10,AH10,AL10,AP10,AW10,BA10,BE10)</f>
        <v>78229</v>
      </c>
      <c r="BM10" s="145">
        <f>SUM(E10,I10,M10,T10,X10,AB10,AI10,AM10,AQ10,AX10,BB10,BF10)</f>
        <v>105885</v>
      </c>
      <c r="BN10" s="30">
        <f>(BM10-BL10)/BL10</f>
        <v>0.353526185941275</v>
      </c>
      <c r="BP10" s="21"/>
      <c r="BQ10" s="20"/>
    </row>
    <row r="11" spans="2:69">
      <c r="AN11" s="51"/>
      <c r="AP11" s="51"/>
      <c r="AQ11" s="51"/>
      <c r="AU11" s="51"/>
    </row>
    <row r="12" spans="2:69">
      <c r="B12" s="21" t="s">
        <v>61</v>
      </c>
      <c r="AN12" s="51"/>
      <c r="AP12" s="51"/>
      <c r="AQ12" s="51"/>
      <c r="AU12" s="51"/>
    </row>
    <row r="13" spans="2:69">
      <c r="B13" s="67" t="s">
        <v>112</v>
      </c>
      <c r="C13" s="67"/>
      <c r="AJ13" s="22"/>
      <c r="AK13" s="63"/>
      <c r="AL13" s="22"/>
      <c r="AM13" s="22"/>
      <c r="AN13" s="51"/>
      <c r="AP13" s="51"/>
      <c r="AQ13" s="51"/>
      <c r="AU13" s="51"/>
      <c r="AW13" s="64"/>
      <c r="AX13" s="64"/>
      <c r="AY13" s="64"/>
      <c r="AZ13" s="142"/>
      <c r="BA13" s="64"/>
      <c r="BB13" s="64"/>
      <c r="BC13" s="22"/>
      <c r="BD13" s="63"/>
      <c r="BE13" s="152"/>
      <c r="BF13" s="152"/>
      <c r="BG13" s="152"/>
      <c r="BH13" s="152"/>
      <c r="BI13" s="152"/>
      <c r="BL13" s="142"/>
      <c r="BM13" s="142"/>
    </row>
    <row r="14" spans="2:69">
      <c r="D14" s="22"/>
      <c r="E14" s="22"/>
      <c r="F14" s="22"/>
      <c r="G14" s="63"/>
      <c r="H14" s="22"/>
      <c r="I14" s="22"/>
      <c r="AN14" s="51"/>
      <c r="AP14" s="51"/>
      <c r="AQ14" s="51"/>
      <c r="AU14" s="51"/>
      <c r="AW14" s="64"/>
      <c r="AX14" s="64"/>
      <c r="AY14" s="64"/>
      <c r="AZ14" s="142"/>
      <c r="BA14" s="142"/>
      <c r="BB14" s="142"/>
      <c r="BC14" s="51"/>
      <c r="BE14" s="51"/>
    </row>
    <row r="15" spans="2:69">
      <c r="AJ15" s="23"/>
      <c r="AK15" s="142"/>
      <c r="AL15" s="23"/>
      <c r="AM15" s="23"/>
      <c r="AN15" s="51"/>
      <c r="AP15" s="51"/>
      <c r="AQ15" s="51"/>
      <c r="AU15" s="51"/>
      <c r="AW15" s="64"/>
      <c r="AX15" s="64"/>
      <c r="AY15" s="64"/>
      <c r="AZ15" s="142"/>
      <c r="BA15" s="142"/>
      <c r="BB15" s="142"/>
      <c r="BC15" s="142"/>
      <c r="BD15" s="142"/>
      <c r="BE15" s="142"/>
      <c r="BF15" s="64"/>
      <c r="BG15" s="142"/>
      <c r="BH15" s="142"/>
      <c r="BI15" s="142"/>
      <c r="BJ15" s="64"/>
      <c r="BK15" s="142"/>
      <c r="BL15" s="64"/>
      <c r="BM15" s="64"/>
      <c r="BN15" s="64"/>
    </row>
    <row r="16" spans="2:69">
      <c r="D16" s="23"/>
      <c r="E16" s="23"/>
      <c r="F16" s="23"/>
      <c r="G16" s="142"/>
      <c r="H16" s="23"/>
      <c r="I16" s="23"/>
      <c r="AJ16" s="23"/>
      <c r="AK16" s="142"/>
      <c r="AN16" s="51"/>
      <c r="AP16" s="51"/>
      <c r="AQ16" s="51"/>
      <c r="AU16" s="51"/>
      <c r="AW16" s="64"/>
      <c r="AX16" s="64"/>
      <c r="AY16" s="64"/>
      <c r="AZ16" s="142"/>
      <c r="BA16" s="142"/>
      <c r="BB16" s="142"/>
      <c r="BC16" s="142"/>
      <c r="BD16" s="142"/>
      <c r="BE16" s="142"/>
      <c r="BF16" s="64"/>
      <c r="BG16" s="142"/>
      <c r="BH16" s="142"/>
      <c r="BI16" s="142"/>
      <c r="BJ16" s="64"/>
      <c r="BK16" s="142"/>
      <c r="BL16" s="64"/>
      <c r="BM16" s="64"/>
      <c r="BN16" s="64"/>
    </row>
    <row r="17" spans="4:66">
      <c r="D17" s="23"/>
      <c r="E17" s="23"/>
      <c r="F17" s="23"/>
      <c r="G17" s="142"/>
      <c r="H17" s="23"/>
      <c r="I17" s="23"/>
      <c r="AJ17" s="23"/>
      <c r="AK17" s="142"/>
      <c r="AN17" s="51"/>
      <c r="AP17" s="51"/>
      <c r="AQ17" s="51"/>
      <c r="AU17" s="51"/>
      <c r="AW17" s="64"/>
      <c r="AX17" s="64"/>
      <c r="AY17" s="64"/>
      <c r="AZ17" s="142"/>
      <c r="BA17" s="142"/>
      <c r="BB17" s="142"/>
      <c r="BC17" s="142"/>
      <c r="BD17" s="142"/>
      <c r="BE17" s="142"/>
      <c r="BF17" s="64"/>
      <c r="BG17" s="142"/>
      <c r="BH17" s="142"/>
      <c r="BI17" s="142"/>
      <c r="BJ17" s="64"/>
      <c r="BK17" s="142"/>
      <c r="BL17" s="64"/>
      <c r="BM17" s="64"/>
      <c r="BN17" s="64"/>
    </row>
    <row r="18" spans="4:66">
      <c r="D18" s="23"/>
      <c r="E18" s="23"/>
      <c r="F18" s="23"/>
      <c r="G18" s="142"/>
      <c r="H18" s="23"/>
      <c r="I18" s="23"/>
      <c r="AJ18" s="23"/>
      <c r="AK18" s="142"/>
      <c r="AN18" s="51"/>
      <c r="AP18" s="51"/>
      <c r="AQ18" s="51"/>
      <c r="AU18" s="51"/>
      <c r="AW18" s="64"/>
      <c r="AX18" s="64"/>
      <c r="AY18" s="64"/>
      <c r="AZ18" s="142"/>
      <c r="BA18" s="142"/>
      <c r="BB18" s="142"/>
      <c r="BC18" s="142"/>
      <c r="BD18" s="142"/>
      <c r="BE18" s="142"/>
      <c r="BF18" s="64"/>
      <c r="BG18" s="142"/>
      <c r="BH18" s="142"/>
      <c r="BI18" s="142"/>
      <c r="BJ18" s="64"/>
      <c r="BK18" s="142"/>
      <c r="BL18" s="64"/>
      <c r="BM18" s="64"/>
      <c r="BN18" s="64"/>
    </row>
    <row r="19" spans="4:66">
      <c r="D19" s="23"/>
      <c r="E19" s="23"/>
      <c r="F19" s="23"/>
      <c r="G19" s="142"/>
      <c r="H19" s="23"/>
      <c r="I19" s="23"/>
      <c r="AJ19" s="23"/>
      <c r="AK19" s="142"/>
      <c r="AN19" s="51"/>
      <c r="AP19" s="51"/>
      <c r="AQ19" s="51"/>
      <c r="AU19" s="51"/>
      <c r="AW19" s="64"/>
      <c r="AX19" s="64"/>
      <c r="AY19" s="64"/>
      <c r="AZ19" s="142"/>
      <c r="BA19" s="142"/>
      <c r="BB19" s="142"/>
      <c r="BC19" s="142"/>
      <c r="BD19" s="142"/>
      <c r="BE19" s="142"/>
      <c r="BF19" s="64"/>
      <c r="BG19" s="142"/>
      <c r="BH19" s="142"/>
      <c r="BI19" s="142"/>
      <c r="BJ19" s="64"/>
      <c r="BK19" s="142"/>
      <c r="BL19" s="64"/>
      <c r="BM19" s="64"/>
      <c r="BN19" s="64"/>
    </row>
    <row r="20" spans="4:66">
      <c r="D20" s="23"/>
      <c r="E20" s="23"/>
      <c r="F20" s="23"/>
      <c r="G20" s="142"/>
      <c r="H20" s="23"/>
      <c r="I20" s="23"/>
      <c r="AJ20" s="23"/>
      <c r="AK20" s="142"/>
      <c r="AW20" s="64"/>
      <c r="AX20" s="64"/>
      <c r="AY20" s="64"/>
      <c r="AZ20" s="142"/>
      <c r="BA20" s="142"/>
      <c r="BB20" s="142"/>
      <c r="BC20" s="142"/>
      <c r="BD20" s="142"/>
      <c r="BE20" s="142"/>
      <c r="BF20" s="64"/>
      <c r="BG20" s="142"/>
      <c r="BH20" s="142"/>
      <c r="BI20" s="142"/>
      <c r="BJ20" s="51"/>
      <c r="BL20" s="64"/>
      <c r="BM20" s="64"/>
      <c r="BN20" s="51"/>
    </row>
    <row r="21" spans="4:66">
      <c r="D21" s="23"/>
      <c r="E21" s="23"/>
      <c r="F21" s="23"/>
      <c r="G21" s="142"/>
      <c r="H21" s="23"/>
      <c r="I21" s="23"/>
      <c r="AW21" s="64"/>
      <c r="AX21" s="64"/>
      <c r="AY21" s="64"/>
      <c r="AZ21" s="142"/>
      <c r="BA21" s="64"/>
      <c r="BE21" s="64"/>
      <c r="BF21" s="64"/>
      <c r="BG21" s="142"/>
      <c r="BH21" s="142"/>
      <c r="BI21" s="142"/>
      <c r="BJ21" s="51"/>
      <c r="BL21" s="64"/>
      <c r="BM21" s="64"/>
      <c r="BN21" s="51"/>
    </row>
    <row r="22" spans="4:66">
      <c r="AW22" s="64"/>
      <c r="AX22" s="64"/>
      <c r="AY22" s="64"/>
      <c r="AZ22" s="142"/>
      <c r="BA22" s="64"/>
    </row>
    <row r="23" spans="4:66">
      <c r="AW23" s="64"/>
      <c r="AX23" s="64"/>
      <c r="AY23" s="64"/>
      <c r="AZ23" s="142"/>
      <c r="BA23" s="64"/>
    </row>
    <row r="24" spans="4:66">
      <c r="AW24" s="64"/>
      <c r="AX24" s="64"/>
      <c r="AY24" s="64"/>
      <c r="AZ24" s="142"/>
      <c r="BA24" s="64"/>
    </row>
    <row r="25" spans="4:66">
      <c r="AW25" s="64"/>
      <c r="AX25" s="64"/>
      <c r="AY25" s="64"/>
      <c r="AZ25" s="142"/>
      <c r="BA25" s="64"/>
    </row>
    <row r="26" spans="4:66">
      <c r="AW26" s="64"/>
      <c r="AX26" s="64"/>
      <c r="AY26" s="64"/>
      <c r="AZ26" s="142"/>
      <c r="BA26" s="64"/>
    </row>
    <row r="27" spans="4:66">
      <c r="AW27" s="64"/>
      <c r="AX27" s="64"/>
      <c r="AY27" s="64"/>
      <c r="AZ27" s="142"/>
      <c r="BA27" s="64"/>
    </row>
    <row r="28" spans="4:66">
      <c r="AW28" s="64"/>
      <c r="AX28" s="64"/>
      <c r="AY28" s="64"/>
      <c r="AZ28" s="142"/>
      <c r="BA28" s="64"/>
    </row>
    <row r="29" spans="4:66">
      <c r="AW29" s="64"/>
      <c r="AX29" s="64"/>
      <c r="AY29" s="64"/>
      <c r="AZ29" s="142"/>
      <c r="BA29" s="64"/>
    </row>
    <row r="30" spans="4:66">
      <c r="AW30" s="64"/>
      <c r="AX30" s="64"/>
      <c r="AY30" s="64"/>
      <c r="AZ30" s="142"/>
      <c r="BA30" s="64"/>
    </row>
    <row r="31" spans="4:66">
      <c r="AW31" s="64"/>
      <c r="AX31" s="64"/>
      <c r="AY31" s="64"/>
      <c r="AZ31" s="142"/>
      <c r="BA31" s="64"/>
    </row>
    <row r="32" spans="4:66">
      <c r="AW32" s="64"/>
      <c r="AX32" s="64"/>
      <c r="AY32" s="64"/>
      <c r="AZ32" s="142"/>
      <c r="BA32" s="64"/>
    </row>
    <row r="33" spans="49:53">
      <c r="AW33" s="64"/>
      <c r="AX33" s="64"/>
      <c r="AY33" s="64"/>
      <c r="AZ33" s="142"/>
      <c r="BA33" s="64"/>
    </row>
    <row r="34" spans="49:53">
      <c r="AW34" s="64"/>
      <c r="AX34" s="64"/>
      <c r="AY34" s="64"/>
      <c r="AZ34" s="142"/>
      <c r="BA34" s="64"/>
    </row>
    <row r="35" spans="49:53">
      <c r="AW35" s="64"/>
      <c r="AX35" s="64"/>
      <c r="AY35" s="64"/>
      <c r="AZ35" s="142"/>
      <c r="BA35" s="64"/>
    </row>
    <row r="36" spans="49:53">
      <c r="AW36" s="64"/>
      <c r="AX36" s="64"/>
      <c r="AY36" s="64"/>
      <c r="AZ36" s="142"/>
      <c r="BA36" s="64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3" r:id="rId1" xr:uid="{B21206F8-1F2F-4B6A-9D94-2DFAC12E895F}"/>
  </hyperlinks>
  <pageMargins left="0.7" right="0.7" top="0.78740157499999996" bottom="0.78740157499999996" header="0.3" footer="0.3"/>
  <pageSetup paperSize="9" orientation="portrait" verticalDpi="0" r:id="rId2"/>
  <ignoredErrors>
    <ignoredError sqref="C10:E10 G10:I10 K10:L10 M10 R10:T10 V10:X10 Z10:AB10" formulaRange="1"/>
    <ignoredError sqref="F10" formula="1" formulaRange="1"/>
    <ignoredError sqref="J10 Q10 U10 Y10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B057-8085-464B-BC48-6649F34A7072}">
  <dimension ref="A1:BQ29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7.5703125" style="21" bestFit="1" customWidth="1"/>
    <col min="5" max="5" width="10" style="21" customWidth="1"/>
    <col min="6" max="6" width="11.5703125" style="21" customWidth="1"/>
    <col min="7" max="7" width="10.28515625" style="51" customWidth="1"/>
    <col min="8" max="8" width="10.42578125" style="21" customWidth="1"/>
    <col min="9" max="9" width="10.28515625" style="21" customWidth="1"/>
    <col min="10" max="10" width="10.85546875" style="21" customWidth="1"/>
    <col min="11" max="11" width="9.71093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0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28515625" style="51" customWidth="1"/>
    <col min="23" max="23" width="9.5703125" style="21" customWidth="1"/>
    <col min="24" max="24" width="10.42578125" style="21" customWidth="1"/>
    <col min="25" max="25" width="9.85546875" style="21" bestFit="1" customWidth="1"/>
    <col min="26" max="26" width="9.28515625" style="51" customWidth="1"/>
    <col min="27" max="27" width="10.5703125" style="21" customWidth="1"/>
    <col min="28" max="28" width="10.140625" style="21" customWidth="1"/>
    <col min="29" max="31" width="10.1406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20</v>
      </c>
      <c r="C1" s="57"/>
    </row>
    <row r="2" spans="2:69">
      <c r="AB2" s="23"/>
      <c r="AC2" s="142"/>
      <c r="AD2" s="142"/>
      <c r="AE2" s="142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55">
        <v>15684</v>
      </c>
      <c r="D6" s="185">
        <v>14423</v>
      </c>
      <c r="E6" s="2">
        <v>10029</v>
      </c>
      <c r="F6" s="198">
        <f>(E6-D6)/D6</f>
        <v>-0.30465229147888789</v>
      </c>
      <c r="G6" s="53">
        <v>18861</v>
      </c>
      <c r="H6" s="53">
        <v>20263</v>
      </c>
      <c r="I6" s="2">
        <v>8311</v>
      </c>
      <c r="J6" s="206">
        <f>(I6-H6)/H6</f>
        <v>-0.5898435572225238</v>
      </c>
      <c r="K6" s="53">
        <v>24900</v>
      </c>
      <c r="L6" s="53">
        <v>10596</v>
      </c>
      <c r="M6" s="216">
        <v>12699</v>
      </c>
      <c r="N6" s="53">
        <f>SUM(C6,G6,K6)</f>
        <v>59445</v>
      </c>
      <c r="O6" s="53">
        <f>SUM(D6,H6,L6)</f>
        <v>45282</v>
      </c>
      <c r="P6" s="53">
        <f>SUM(E6,I6,M6)</f>
        <v>31039</v>
      </c>
      <c r="Q6" s="222">
        <f>(M6-L6)/L6</f>
        <v>0.19847112117780294</v>
      </c>
      <c r="R6" s="143">
        <v>21121</v>
      </c>
      <c r="S6" s="2">
        <v>2749</v>
      </c>
      <c r="T6" s="2">
        <v>14809</v>
      </c>
      <c r="U6" s="49">
        <f>(T6-S6)/S6</f>
        <v>4.3870498363041106</v>
      </c>
      <c r="V6" s="143">
        <v>22724</v>
      </c>
      <c r="W6" s="2">
        <v>5741</v>
      </c>
      <c r="X6" s="2">
        <v>16661</v>
      </c>
      <c r="Y6" s="49">
        <f>(X6-W6)/W6</f>
        <v>1.9021076467514371</v>
      </c>
      <c r="Z6" s="47">
        <v>23305</v>
      </c>
      <c r="AA6" s="47">
        <v>11076</v>
      </c>
      <c r="AB6" s="53">
        <v>18936</v>
      </c>
      <c r="AC6" s="53">
        <f>SUM(R6,V6,Z6)</f>
        <v>67150</v>
      </c>
      <c r="AD6" s="53">
        <f t="shared" ref="AD6:AE10" si="0">SUM(S6,W6,AA6)</f>
        <v>19566</v>
      </c>
      <c r="AE6" s="53">
        <f t="shared" si="0"/>
        <v>50406</v>
      </c>
      <c r="AF6" s="49">
        <f>(AB6-AA6)/AA6</f>
        <v>0.70964247020585047</v>
      </c>
      <c r="AG6" s="49"/>
      <c r="AH6" s="2"/>
      <c r="AI6" s="53"/>
      <c r="AJ6" s="49"/>
      <c r="AK6" s="49"/>
      <c r="AL6" s="2"/>
      <c r="AM6" s="53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SUM(C6,G6,K6,R6,V6,Z6,AG6,AK6,AO6,AV6,AZ6,BD6)</f>
        <v>126595</v>
      </c>
      <c r="BL6" s="3">
        <f>SUM(D6,H6,L6,S6,W6,AA6,AH6,AL6,AP6,AW6,BA6,BE6)</f>
        <v>64848</v>
      </c>
      <c r="BM6" s="3">
        <f>SUM(E6,I6,M6,T6,X6,AB6,AI6,AM6,AQ6,AX6,BB6,BF6)</f>
        <v>81445</v>
      </c>
      <c r="BN6" s="13">
        <f>(BM6-BL6)/BL6</f>
        <v>0.2559369602763385</v>
      </c>
    </row>
    <row r="7" spans="2:69">
      <c r="B7" s="248" t="s">
        <v>3</v>
      </c>
      <c r="C7" s="55">
        <v>2915</v>
      </c>
      <c r="D7" s="185">
        <v>2595</v>
      </c>
      <c r="E7" s="2">
        <v>2098</v>
      </c>
      <c r="F7" s="198">
        <f>(E7-D7)/D7</f>
        <v>-0.19152215799614644</v>
      </c>
      <c r="G7" s="53">
        <v>2621</v>
      </c>
      <c r="H7" s="53">
        <v>2484</v>
      </c>
      <c r="I7" s="2">
        <v>2041</v>
      </c>
      <c r="J7" s="206">
        <f t="shared" ref="J7:J10" si="1">(I7-H7)/H7</f>
        <v>-0.17834138486312398</v>
      </c>
      <c r="K7" s="53">
        <v>3190</v>
      </c>
      <c r="L7" s="53">
        <v>1557</v>
      </c>
      <c r="M7" s="216">
        <v>2923</v>
      </c>
      <c r="N7" s="53">
        <f t="shared" ref="N7:N9" si="2">SUM(C7,G7,K7)</f>
        <v>8726</v>
      </c>
      <c r="O7" s="53">
        <f t="shared" ref="O7:O9" si="3">SUM(D7,H7,L7)</f>
        <v>6636</v>
      </c>
      <c r="P7" s="53">
        <f t="shared" ref="P7:P9" si="4">SUM(E7,I7,M7)</f>
        <v>7062</v>
      </c>
      <c r="Q7" s="222">
        <f t="shared" ref="Q7:Q10" si="5">(M7-L7)/L7</f>
        <v>0.87732819524727035</v>
      </c>
      <c r="R7" s="143">
        <v>3154</v>
      </c>
      <c r="S7" s="2">
        <v>948</v>
      </c>
      <c r="T7" s="23">
        <v>2876</v>
      </c>
      <c r="U7" s="49">
        <f t="shared" ref="U7:U10" si="6">(T7-S7)/S7</f>
        <v>2.0337552742616034</v>
      </c>
      <c r="V7" s="143">
        <v>3469</v>
      </c>
      <c r="W7" s="2">
        <v>1691</v>
      </c>
      <c r="X7" s="2">
        <v>2575</v>
      </c>
      <c r="Y7" s="49">
        <f t="shared" ref="Y7:Y10" si="7">(X7-W7)/W7</f>
        <v>0.52276759314015375</v>
      </c>
      <c r="Z7" s="47">
        <v>3666</v>
      </c>
      <c r="AA7" s="47">
        <v>2347</v>
      </c>
      <c r="AB7" s="53">
        <v>2796</v>
      </c>
      <c r="AC7" s="53">
        <f t="shared" ref="AC7:AC10" si="8">SUM(R7,V7,Z7)</f>
        <v>10289</v>
      </c>
      <c r="AD7" s="53">
        <f t="shared" si="0"/>
        <v>4986</v>
      </c>
      <c r="AE7" s="53">
        <f t="shared" si="0"/>
        <v>8247</v>
      </c>
      <c r="AF7" s="49">
        <f t="shared" ref="AF7:AF10" si="9">(AB7-AA7)/AA7</f>
        <v>0.19130805283340435</v>
      </c>
      <c r="AG7" s="49"/>
      <c r="AH7" s="2"/>
      <c r="AI7" s="53"/>
      <c r="AJ7" s="49"/>
      <c r="AK7" s="49"/>
      <c r="AL7" s="2"/>
      <c r="AM7" s="53"/>
      <c r="AN7" s="49"/>
      <c r="AO7" s="49"/>
      <c r="AP7" s="2"/>
      <c r="AQ7" s="53"/>
      <c r="AR7" s="53"/>
      <c r="AS7" s="53"/>
      <c r="AT7" s="53"/>
      <c r="AU7" s="49"/>
      <c r="AV7" s="49"/>
      <c r="AW7" s="2"/>
      <c r="AX7" s="53"/>
      <c r="AY7" s="49"/>
      <c r="AZ7" s="49"/>
      <c r="BA7" s="2"/>
      <c r="BB7" s="53"/>
      <c r="BC7" s="49"/>
      <c r="BD7" s="49"/>
      <c r="BE7" s="4"/>
      <c r="BF7" s="53"/>
      <c r="BG7" s="53"/>
      <c r="BH7" s="53"/>
      <c r="BI7" s="53"/>
      <c r="BJ7" s="49"/>
      <c r="BK7" s="3">
        <f t="shared" ref="BK7:BK10" si="10">SUM(C7,G7,K7,R7,V7,Z7,AG7,AK7,AO7,AV7,AZ7,BD7)</f>
        <v>19015</v>
      </c>
      <c r="BL7" s="3">
        <f t="shared" ref="BL7:BL9" si="11">SUM(D7,H7,L7,S7,W7,AA7,AH7,AL7,AP7,AW7,BA7,BE7)</f>
        <v>11622</v>
      </c>
      <c r="BM7" s="3">
        <f t="shared" ref="BM7:BM9" si="12">SUM(E7,I7,M7,T7,X7,AB7,AI7,AM7,AQ7,AX7,BB7,BF7)</f>
        <v>15309</v>
      </c>
      <c r="BN7" s="13">
        <f>(BM7-BL7)/BL7</f>
        <v>0.31724315952503873</v>
      </c>
    </row>
    <row r="8" spans="2:69">
      <c r="B8" s="248" t="s">
        <v>4</v>
      </c>
      <c r="C8" s="55">
        <v>436</v>
      </c>
      <c r="D8" s="185">
        <v>385</v>
      </c>
      <c r="E8" s="2">
        <v>343</v>
      </c>
      <c r="F8" s="198">
        <f>(E8-D8)/D8</f>
        <v>-0.10909090909090909</v>
      </c>
      <c r="G8" s="53">
        <v>382</v>
      </c>
      <c r="H8" s="53">
        <v>232</v>
      </c>
      <c r="I8" s="2">
        <v>290</v>
      </c>
      <c r="J8" s="206">
        <f t="shared" si="1"/>
        <v>0.25</v>
      </c>
      <c r="K8" s="53">
        <v>406</v>
      </c>
      <c r="L8" s="53">
        <v>210</v>
      </c>
      <c r="M8" s="216">
        <v>435</v>
      </c>
      <c r="N8" s="53">
        <f t="shared" si="2"/>
        <v>1224</v>
      </c>
      <c r="O8" s="53">
        <f t="shared" si="3"/>
        <v>827</v>
      </c>
      <c r="P8" s="53">
        <f t="shared" si="4"/>
        <v>1068</v>
      </c>
      <c r="Q8" s="222">
        <f t="shared" si="5"/>
        <v>1.0714285714285714</v>
      </c>
      <c r="R8" s="143">
        <v>345</v>
      </c>
      <c r="S8" s="2">
        <v>90</v>
      </c>
      <c r="T8" s="2">
        <v>345</v>
      </c>
      <c r="U8" s="49">
        <f t="shared" si="6"/>
        <v>2.8333333333333335</v>
      </c>
      <c r="V8" s="143">
        <v>403</v>
      </c>
      <c r="W8" s="2">
        <v>135</v>
      </c>
      <c r="X8" s="2">
        <v>392</v>
      </c>
      <c r="Y8" s="49">
        <f t="shared" si="7"/>
        <v>1.9037037037037037</v>
      </c>
      <c r="Z8" s="47">
        <v>673</v>
      </c>
      <c r="AA8" s="47">
        <v>227</v>
      </c>
      <c r="AB8" s="79">
        <v>478</v>
      </c>
      <c r="AC8" s="53">
        <f t="shared" si="8"/>
        <v>1421</v>
      </c>
      <c r="AD8" s="53">
        <f t="shared" si="0"/>
        <v>452</v>
      </c>
      <c r="AE8" s="53">
        <f t="shared" si="0"/>
        <v>1215</v>
      </c>
      <c r="AF8" s="49">
        <f t="shared" si="9"/>
        <v>1.105726872246696</v>
      </c>
      <c r="AG8" s="49"/>
      <c r="AH8" s="2"/>
      <c r="AI8" s="53"/>
      <c r="AJ8" s="49"/>
      <c r="AK8" s="49"/>
      <c r="AL8" s="2"/>
      <c r="AM8" s="53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3">
        <f t="shared" si="10"/>
        <v>2645</v>
      </c>
      <c r="BL8" s="3">
        <f t="shared" si="11"/>
        <v>1279</v>
      </c>
      <c r="BM8" s="3">
        <f t="shared" si="12"/>
        <v>2283</v>
      </c>
      <c r="BN8" s="13">
        <f>(BM8-BL8)/BL8</f>
        <v>0.78498827208756838</v>
      </c>
    </row>
    <row r="9" spans="2:69">
      <c r="B9" s="248" t="s">
        <v>5</v>
      </c>
      <c r="C9" s="55">
        <v>90</v>
      </c>
      <c r="D9" s="185">
        <v>101</v>
      </c>
      <c r="E9" s="2">
        <v>42</v>
      </c>
      <c r="F9" s="198">
        <f>(E9-D9)/D9</f>
        <v>-0.58415841584158412</v>
      </c>
      <c r="G9" s="53">
        <v>83</v>
      </c>
      <c r="H9" s="53">
        <v>59</v>
      </c>
      <c r="I9" s="2">
        <v>57</v>
      </c>
      <c r="J9" s="206">
        <f t="shared" si="1"/>
        <v>-3.3898305084745763E-2</v>
      </c>
      <c r="K9" s="53">
        <v>55</v>
      </c>
      <c r="L9" s="53">
        <v>36</v>
      </c>
      <c r="M9" s="216">
        <v>42</v>
      </c>
      <c r="N9" s="53">
        <f t="shared" si="2"/>
        <v>228</v>
      </c>
      <c r="O9" s="53">
        <f t="shared" si="3"/>
        <v>196</v>
      </c>
      <c r="P9" s="53">
        <f t="shared" si="4"/>
        <v>141</v>
      </c>
      <c r="Q9" s="222">
        <f t="shared" si="5"/>
        <v>0.16666666666666666</v>
      </c>
      <c r="R9" s="143">
        <v>43</v>
      </c>
      <c r="S9" s="2">
        <v>16</v>
      </c>
      <c r="T9" s="2">
        <v>82</v>
      </c>
      <c r="U9" s="49">
        <f t="shared" si="6"/>
        <v>4.125</v>
      </c>
      <c r="V9" s="143">
        <v>62</v>
      </c>
      <c r="W9" s="2">
        <v>12</v>
      </c>
      <c r="X9" s="2">
        <v>40</v>
      </c>
      <c r="Y9" s="49">
        <f t="shared" si="7"/>
        <v>2.3333333333333335</v>
      </c>
      <c r="Z9" s="47">
        <v>99</v>
      </c>
      <c r="AA9" s="87">
        <v>28</v>
      </c>
      <c r="AB9" s="79">
        <v>32</v>
      </c>
      <c r="AC9" s="53">
        <f t="shared" si="8"/>
        <v>204</v>
      </c>
      <c r="AD9" s="53">
        <f t="shared" si="0"/>
        <v>56</v>
      </c>
      <c r="AE9" s="53">
        <f t="shared" si="0"/>
        <v>154</v>
      </c>
      <c r="AF9" s="49">
        <f t="shared" si="9"/>
        <v>0.14285714285714285</v>
      </c>
      <c r="AG9" s="49"/>
      <c r="AH9" s="1"/>
      <c r="AI9" s="53"/>
      <c r="AJ9" s="49"/>
      <c r="AK9" s="49"/>
      <c r="AL9" s="2"/>
      <c r="AM9" s="53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236"/>
      <c r="BC9" s="49"/>
      <c r="BD9" s="49"/>
      <c r="BE9" s="4"/>
      <c r="BF9" s="53"/>
      <c r="BG9" s="53"/>
      <c r="BH9" s="53"/>
      <c r="BI9" s="53"/>
      <c r="BJ9" s="49"/>
      <c r="BK9" s="3">
        <f t="shared" si="10"/>
        <v>432</v>
      </c>
      <c r="BL9" s="3">
        <f t="shared" si="11"/>
        <v>252</v>
      </c>
      <c r="BM9" s="3">
        <f t="shared" si="12"/>
        <v>295</v>
      </c>
      <c r="BN9" s="13">
        <f>(BM9-BL9)/BL9</f>
        <v>0.17063492063492064</v>
      </c>
    </row>
    <row r="10" spans="2:69" s="9" customFormat="1">
      <c r="B10" s="249" t="s">
        <v>7</v>
      </c>
      <c r="C10" s="187">
        <f>SUM(C6:C9)</f>
        <v>19125</v>
      </c>
      <c r="D10" s="187">
        <f>SUM(D6:D9)</f>
        <v>17504</v>
      </c>
      <c r="E10" s="3">
        <f>SUM(E6:E9)</f>
        <v>12512</v>
      </c>
      <c r="F10" s="50">
        <f>(E10-D10)/D10</f>
        <v>-0.28519195612431442</v>
      </c>
      <c r="G10" s="3">
        <f>SUM(G6:G9)</f>
        <v>21947</v>
      </c>
      <c r="H10" s="3">
        <f>SUM(H6:H9)</f>
        <v>23038</v>
      </c>
      <c r="I10" s="3">
        <f>SUM(I6:I9)</f>
        <v>10699</v>
      </c>
      <c r="J10" s="207">
        <f t="shared" si="1"/>
        <v>-0.53559336747981601</v>
      </c>
      <c r="K10" s="3">
        <f>SUM(K6:K9)</f>
        <v>28551</v>
      </c>
      <c r="L10" s="3">
        <f>SUM(L6:L9)</f>
        <v>12399</v>
      </c>
      <c r="M10" s="3">
        <f>SUM(M6:M9)</f>
        <v>16099</v>
      </c>
      <c r="N10" s="227">
        <f>SUM(N6:N9)</f>
        <v>69623</v>
      </c>
      <c r="O10" s="227">
        <f t="shared" ref="O10:P10" si="13">SUM(O6:O9)</f>
        <v>52941</v>
      </c>
      <c r="P10" s="227">
        <f t="shared" si="13"/>
        <v>39310</v>
      </c>
      <c r="Q10" s="223">
        <f t="shared" si="5"/>
        <v>0.29841116219049924</v>
      </c>
      <c r="R10" s="3">
        <f>SUM(R6:R9)</f>
        <v>24663</v>
      </c>
      <c r="S10" s="3">
        <f>SUM(S6:S9)</f>
        <v>3803</v>
      </c>
      <c r="T10" s="3">
        <f>SUM(T6:T9)</f>
        <v>18112</v>
      </c>
      <c r="U10" s="50">
        <f t="shared" si="6"/>
        <v>3.7625558769392584</v>
      </c>
      <c r="V10" s="3">
        <f>SUM(V6:V9)</f>
        <v>26658</v>
      </c>
      <c r="W10" s="3">
        <f>SUM(W6:W9)</f>
        <v>7579</v>
      </c>
      <c r="X10" s="3">
        <f>SUM(X6:X9)</f>
        <v>19668</v>
      </c>
      <c r="Y10" s="50">
        <f t="shared" si="7"/>
        <v>1.5950653120464442</v>
      </c>
      <c r="Z10" s="80">
        <f>SUM(Z6:Z9)</f>
        <v>27743</v>
      </c>
      <c r="AA10" s="80">
        <f>SUM(AA6:AA9)</f>
        <v>13678</v>
      </c>
      <c r="AB10" s="80">
        <f>SUM(AB6:AB9)</f>
        <v>22242</v>
      </c>
      <c r="AC10" s="145">
        <f t="shared" si="8"/>
        <v>79064</v>
      </c>
      <c r="AD10" s="145">
        <f t="shared" si="0"/>
        <v>25060</v>
      </c>
      <c r="AE10" s="145">
        <f t="shared" si="0"/>
        <v>60022</v>
      </c>
      <c r="AF10" s="50">
        <f t="shared" si="9"/>
        <v>0.62611492908319932</v>
      </c>
      <c r="AG10" s="50"/>
      <c r="AH10" s="3"/>
      <c r="AI10" s="3"/>
      <c r="AJ10" s="50"/>
      <c r="AK10" s="50"/>
      <c r="AL10" s="3"/>
      <c r="AM10" s="3"/>
      <c r="AN10" s="50"/>
      <c r="AO10" s="50"/>
      <c r="AP10" s="227"/>
      <c r="AQ10" s="3"/>
      <c r="AR10" s="145"/>
      <c r="AS10" s="145"/>
      <c r="AT10" s="145"/>
      <c r="AU10" s="50"/>
      <c r="AV10" s="50"/>
      <c r="AW10" s="227"/>
      <c r="AX10" s="3"/>
      <c r="AY10" s="50"/>
      <c r="AZ10" s="50"/>
      <c r="BA10" s="227"/>
      <c r="BB10" s="3"/>
      <c r="BC10" s="50"/>
      <c r="BD10" s="50"/>
      <c r="BE10" s="3"/>
      <c r="BF10" s="3"/>
      <c r="BG10" s="145"/>
      <c r="BH10" s="145"/>
      <c r="BI10" s="145"/>
      <c r="BJ10" s="50"/>
      <c r="BK10" s="3">
        <f t="shared" si="10"/>
        <v>148687</v>
      </c>
      <c r="BL10" s="3">
        <f>SUM(D10,H10,L10,S10,W10,AA10,AH10,AL10,AP10,AW10,BA10,BE10)</f>
        <v>78001</v>
      </c>
      <c r="BM10" s="3">
        <f>SUM(E10,I10,M10,T10,X10,AB10,AI10,AM10,AQ10,AX10,BB10,BF10)</f>
        <v>99332</v>
      </c>
      <c r="BN10" s="14">
        <f>(BM10-BL10)/BL10</f>
        <v>0.27347085293778284</v>
      </c>
      <c r="BP10" s="21"/>
      <c r="BQ10" s="20"/>
    </row>
    <row r="12" spans="2:69">
      <c r="B12" s="21" t="s">
        <v>30</v>
      </c>
      <c r="D12" s="67" t="s">
        <v>114</v>
      </c>
      <c r="AH12" s="51"/>
      <c r="AI12" s="51"/>
      <c r="AJ12" s="51"/>
      <c r="AL12" s="51"/>
      <c r="AM12" s="51"/>
      <c r="AN12" s="51"/>
      <c r="AP12" s="51"/>
      <c r="AQ12" s="51"/>
      <c r="AU12" s="51"/>
      <c r="AW12" s="51"/>
      <c r="AX12" s="51"/>
      <c r="AY12" s="51"/>
      <c r="BA12" s="51"/>
    </row>
    <row r="13" spans="2:69">
      <c r="AH13" s="51"/>
      <c r="AI13" s="51"/>
      <c r="AJ13" s="51"/>
      <c r="AL13" s="51"/>
      <c r="AM13" s="51"/>
      <c r="AN13" s="51"/>
      <c r="AP13" s="51"/>
      <c r="AQ13" s="51"/>
      <c r="AU13" s="51"/>
      <c r="AW13" s="51"/>
      <c r="AX13" s="51"/>
      <c r="AY13" s="51"/>
      <c r="BA13" s="51"/>
      <c r="BB13" s="22"/>
      <c r="BC13" s="22"/>
      <c r="BD13" s="63"/>
      <c r="BL13" s="142"/>
      <c r="BM13" s="142"/>
    </row>
    <row r="14" spans="2:69">
      <c r="D14" s="22"/>
      <c r="E14" s="22"/>
      <c r="F14" s="22"/>
      <c r="G14" s="63"/>
      <c r="H14" s="22"/>
      <c r="I14" s="22"/>
      <c r="AH14" s="51"/>
      <c r="AI14" s="51"/>
      <c r="AJ14" s="51"/>
      <c r="AL14" s="51"/>
      <c r="AM14" s="51"/>
      <c r="AN14" s="51"/>
      <c r="AP14" s="51"/>
      <c r="AQ14" s="51"/>
      <c r="AU14" s="51"/>
      <c r="AW14" s="51"/>
      <c r="AX14" s="51"/>
      <c r="AY14" s="51"/>
      <c r="BA14" s="51"/>
    </row>
    <row r="15" spans="2:69">
      <c r="AH15" s="51"/>
      <c r="AI15" s="51"/>
      <c r="AJ15" s="51"/>
      <c r="AL15" s="51"/>
      <c r="AM15" s="51"/>
      <c r="AN15" s="51"/>
      <c r="AP15" s="51"/>
      <c r="AQ15" s="51"/>
      <c r="AU15" s="51"/>
      <c r="AW15" s="51"/>
      <c r="AX15" s="51"/>
      <c r="AY15" s="51"/>
      <c r="BA15" s="51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H16" s="51"/>
      <c r="AI16" s="51"/>
      <c r="AJ16" s="51"/>
      <c r="AL16" s="51"/>
      <c r="AM16" s="51"/>
      <c r="AN16" s="51"/>
      <c r="AP16" s="51"/>
      <c r="AQ16" s="51"/>
      <c r="AU16" s="51"/>
      <c r="AW16" s="51"/>
      <c r="AX16" s="51"/>
      <c r="AY16" s="51"/>
      <c r="BA16" s="51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H17" s="51"/>
      <c r="AI17" s="51"/>
      <c r="AJ17" s="51"/>
      <c r="AL17" s="51"/>
      <c r="AM17" s="51"/>
      <c r="AN17" s="51"/>
      <c r="AP17" s="51"/>
      <c r="AQ17" s="51"/>
      <c r="AU17" s="51"/>
      <c r="AW17" s="51"/>
      <c r="AX17" s="51"/>
      <c r="AY17" s="51"/>
      <c r="BA17" s="51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H18" s="51"/>
      <c r="AI18" s="51"/>
      <c r="AJ18" s="51"/>
      <c r="AL18" s="51"/>
      <c r="AM18" s="51"/>
      <c r="AN18" s="51"/>
      <c r="AP18" s="51"/>
      <c r="AQ18" s="51"/>
      <c r="AU18" s="51"/>
      <c r="AW18" s="51"/>
      <c r="AX18" s="51"/>
      <c r="AY18" s="51"/>
      <c r="BA18" s="51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H19" s="51"/>
      <c r="AI19" s="51"/>
      <c r="AJ19" s="51"/>
      <c r="AL19" s="51"/>
      <c r="AM19" s="51"/>
      <c r="AN19" s="51"/>
      <c r="AP19" s="51"/>
      <c r="AQ19" s="51"/>
      <c r="AU19" s="51"/>
      <c r="AW19" s="51"/>
      <c r="AX19" s="51"/>
      <c r="AY19" s="51"/>
      <c r="BA19" s="51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H20" s="51"/>
      <c r="AI20" s="51"/>
      <c r="AJ20" s="51"/>
      <c r="AL20" s="51"/>
      <c r="AM20" s="51"/>
      <c r="AN20" s="51"/>
      <c r="AP20" s="51"/>
      <c r="AQ20" s="51"/>
      <c r="AU20" s="51"/>
      <c r="AW20" s="51"/>
      <c r="AX20" s="51"/>
      <c r="AY20" s="51"/>
      <c r="BA20" s="51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  <c r="AN21" s="51"/>
      <c r="AP21" s="51"/>
      <c r="AQ21" s="51"/>
      <c r="AU21" s="51"/>
      <c r="AW21" s="51"/>
      <c r="AX21" s="51"/>
      <c r="AY21" s="51"/>
      <c r="BA21" s="51"/>
    </row>
    <row r="22" spans="4:56">
      <c r="AN22" s="51"/>
      <c r="AP22" s="51"/>
      <c r="AQ22" s="51"/>
      <c r="AU22" s="51"/>
      <c r="AW22" s="51"/>
      <c r="AX22" s="51"/>
      <c r="AY22" s="51"/>
      <c r="BA22" s="51"/>
    </row>
    <row r="23" spans="4:56">
      <c r="AN23" s="51"/>
      <c r="AP23" s="51"/>
      <c r="AQ23" s="51"/>
      <c r="AU23" s="51"/>
      <c r="AW23" s="51"/>
      <c r="AX23" s="51"/>
      <c r="AY23" s="51"/>
      <c r="BA23" s="51"/>
    </row>
    <row r="24" spans="4:56">
      <c r="AN24" s="51"/>
      <c r="AP24" s="51"/>
      <c r="AQ24" s="51"/>
      <c r="AU24" s="51"/>
      <c r="AW24" s="51"/>
      <c r="AX24" s="51"/>
      <c r="AY24" s="51"/>
      <c r="BA24" s="51"/>
    </row>
    <row r="25" spans="4:56">
      <c r="AN25" s="51"/>
      <c r="AP25" s="51"/>
      <c r="AQ25" s="51"/>
      <c r="AU25" s="51"/>
      <c r="AW25" s="51"/>
      <c r="AX25" s="51"/>
      <c r="AY25" s="51"/>
      <c r="BA25" s="51"/>
    </row>
    <row r="26" spans="4:56">
      <c r="AN26" s="51"/>
      <c r="AP26" s="51"/>
      <c r="AQ26" s="51"/>
      <c r="AU26" s="51"/>
      <c r="AW26" s="51"/>
      <c r="AX26" s="51"/>
      <c r="AY26" s="51"/>
      <c r="BA26" s="51"/>
    </row>
    <row r="27" spans="4:56">
      <c r="AN27" s="51"/>
      <c r="AP27" s="51"/>
      <c r="AQ27" s="51"/>
      <c r="AU27" s="51"/>
      <c r="AW27" s="51"/>
      <c r="AX27" s="51"/>
      <c r="AY27" s="51"/>
      <c r="BA27" s="51"/>
    </row>
    <row r="28" spans="4:56">
      <c r="AN28" s="51"/>
      <c r="AP28" s="51"/>
      <c r="AQ28" s="51"/>
      <c r="AU28" s="51"/>
      <c r="AW28" s="51"/>
      <c r="AX28" s="51"/>
      <c r="AY28" s="51"/>
      <c r="BA28" s="51"/>
    </row>
    <row r="29" spans="4:56">
      <c r="AN29" s="126"/>
      <c r="AO29" s="126"/>
      <c r="AP29" s="51"/>
      <c r="AQ29" s="51"/>
      <c r="AU29" s="51"/>
      <c r="AW29" s="51"/>
      <c r="AX29" s="51"/>
      <c r="AY29" s="51"/>
      <c r="BA29" s="5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6E9536C8-BB18-46B4-BDB0-1D3B9C6E6EF5}"/>
  </hyperlinks>
  <pageMargins left="0.7" right="0.7" top="0.78740157499999996" bottom="0.78740157499999996" header="0.3" footer="0.3"/>
  <pageSetup paperSize="9" orientation="portrait" verticalDpi="0" r:id="rId2"/>
  <ignoredErrors>
    <ignoredError sqref="C10:E10 G10 K10 R10:T10 V10:X10 Z10:AB10" formulaRange="1"/>
    <ignoredError sqref="F10 J10 Q10 U10 Y10" formula="1"/>
    <ignoredError sqref="H10 I10 L10:M10" formula="1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1F12-7C19-49AE-8BD9-BA13C6DAC219}">
  <dimension ref="A1:EC25"/>
  <sheetViews>
    <sheetView topLeftCell="B1" zoomScale="93" zoomScaleNormal="93" workbookViewId="0">
      <pane xSplit="1" topLeftCell="AR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10.140625" style="21" customWidth="1"/>
    <col min="5" max="5" width="11.85546875" style="21" customWidth="1"/>
    <col min="6" max="6" width="11.5703125" style="21" customWidth="1"/>
    <col min="7" max="7" width="10.85546875" style="51" customWidth="1"/>
    <col min="8" max="8" width="11.28515625" style="21" customWidth="1"/>
    <col min="9" max="9" width="10.28515625" style="21" customWidth="1"/>
    <col min="10" max="10" width="10.85546875" style="21" customWidth="1"/>
    <col min="11" max="11" width="10.5703125" style="51" customWidth="1"/>
    <col min="12" max="12" width="10.42578125" style="21" customWidth="1"/>
    <col min="13" max="13" width="10" style="21" customWidth="1"/>
    <col min="14" max="14" width="8.5703125" style="51" customWidth="1"/>
    <col min="15" max="15" width="10" style="51" customWidth="1"/>
    <col min="16" max="16" width="11.7109375" style="51" customWidth="1"/>
    <col min="17" max="17" width="10.28515625" style="21" customWidth="1"/>
    <col min="18" max="18" width="12.7109375" style="51" customWidth="1"/>
    <col min="19" max="19" width="11.140625" style="21" customWidth="1"/>
    <col min="20" max="20" width="10.28515625" style="21" customWidth="1"/>
    <col min="21" max="21" width="11.140625" style="21" customWidth="1"/>
    <col min="22" max="22" width="10.5703125" style="51" customWidth="1"/>
    <col min="23" max="23" width="11" style="21" customWidth="1"/>
    <col min="24" max="24" width="11.5703125" style="21" customWidth="1"/>
    <col min="25" max="25" width="9.85546875" style="21" bestFit="1" customWidth="1"/>
    <col min="26" max="26" width="10.28515625" style="51" customWidth="1"/>
    <col min="27" max="27" width="9.5703125" style="21" customWidth="1"/>
    <col min="28" max="28" width="10" style="21" customWidth="1"/>
    <col min="29" max="31" width="10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133">
      <c r="B1" s="9" t="s">
        <v>21</v>
      </c>
      <c r="C1" s="57"/>
    </row>
    <row r="2" spans="2:133">
      <c r="AB2" s="23"/>
      <c r="AC2" s="142"/>
      <c r="AD2" s="142"/>
      <c r="AE2" s="142"/>
    </row>
    <row r="4" spans="2:133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133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133" s="77" customFormat="1">
      <c r="B6" s="251" t="s">
        <v>6</v>
      </c>
      <c r="C6" s="268">
        <v>13831</v>
      </c>
      <c r="D6" s="256">
        <v>12368</v>
      </c>
      <c r="E6" s="83">
        <v>5913</v>
      </c>
      <c r="F6" s="200">
        <f>(E6-D6)/D6</f>
        <v>-0.52191138421733507</v>
      </c>
      <c r="G6" s="268">
        <v>11927</v>
      </c>
      <c r="H6" s="301">
        <v>8836</v>
      </c>
      <c r="I6" s="82">
        <v>6897</v>
      </c>
      <c r="J6" s="208">
        <f>(I6-H6)/H6</f>
        <v>-0.21944318696242643</v>
      </c>
      <c r="K6" s="268">
        <v>9699</v>
      </c>
      <c r="L6" s="301">
        <v>6654</v>
      </c>
      <c r="M6" s="218">
        <v>7681</v>
      </c>
      <c r="N6" s="230">
        <f>SUM(C6,G6,K6)</f>
        <v>35457</v>
      </c>
      <c r="O6" s="230">
        <f>SUM(D6,H6,L6)</f>
        <v>27858</v>
      </c>
      <c r="P6" s="230">
        <f>SUM(E6,I6,M6)</f>
        <v>20491</v>
      </c>
      <c r="Q6" s="224">
        <f>(M6-L6)/L6</f>
        <v>0.15434325217914036</v>
      </c>
      <c r="R6" s="47">
        <v>8521</v>
      </c>
      <c r="S6" s="47">
        <v>4321</v>
      </c>
      <c r="T6" s="47">
        <v>6862</v>
      </c>
      <c r="U6" s="72">
        <f>(T6-S6)/S6</f>
        <v>0.58805831983337187</v>
      </c>
      <c r="V6" s="47">
        <v>12855</v>
      </c>
      <c r="W6" s="47">
        <v>7154</v>
      </c>
      <c r="X6" s="47">
        <v>8221</v>
      </c>
      <c r="Y6" s="72">
        <f>(X6-W6)/W6</f>
        <v>0.14914733016494269</v>
      </c>
      <c r="Z6" s="47">
        <v>13877</v>
      </c>
      <c r="AA6" s="47">
        <v>10060</v>
      </c>
      <c r="AB6" s="71">
        <v>11720</v>
      </c>
      <c r="AC6" s="71">
        <f>SUM(R6,V6,Z6)</f>
        <v>35253</v>
      </c>
      <c r="AD6" s="71">
        <f>SUM(S6,W6,AA6)</f>
        <v>21535</v>
      </c>
      <c r="AE6" s="71">
        <f>SUM(T6,X6,AB6)</f>
        <v>26803</v>
      </c>
      <c r="AF6" s="72">
        <f>(AB6-AA6)/AA6</f>
        <v>0.16500994035785288</v>
      </c>
      <c r="AG6" s="72"/>
      <c r="AH6" s="47"/>
      <c r="AI6" s="71"/>
      <c r="AJ6" s="72"/>
      <c r="AK6" s="72"/>
      <c r="AL6" s="47"/>
      <c r="AM6" s="71"/>
      <c r="AN6" s="72"/>
      <c r="AO6" s="72"/>
      <c r="AP6" s="47"/>
      <c r="AQ6" s="71"/>
      <c r="AR6" s="71"/>
      <c r="AS6" s="71"/>
      <c r="AT6" s="71"/>
      <c r="AU6" s="72"/>
      <c r="AV6" s="72"/>
      <c r="AW6" s="47"/>
      <c r="AX6" s="71"/>
      <c r="AY6" s="72"/>
      <c r="AZ6" s="72"/>
      <c r="BA6" s="47"/>
      <c r="BB6" s="71"/>
      <c r="BC6" s="72"/>
      <c r="BD6" s="72"/>
      <c r="BE6" s="84"/>
      <c r="BF6" s="71"/>
      <c r="BG6" s="71"/>
      <c r="BH6" s="71"/>
      <c r="BI6" s="71"/>
      <c r="BJ6" s="72"/>
      <c r="BK6" s="80">
        <f>SUM(C6,G6,K6,R6,V6,Z6,AG6,AK6,AO6,AV6,AZ6,BD6)</f>
        <v>70710</v>
      </c>
      <c r="BL6" s="80">
        <f>SUM(D6,H6,L6,S6,W6,AA6,AH6,AL6,AP6,AW6,BA6,BE6)</f>
        <v>49393</v>
      </c>
      <c r="BM6" s="80">
        <f>SUM(E6,I6,M6,T6,X6,AB6,AI6,AM6,AQ6,AX6,BB6,BF6)</f>
        <v>47294</v>
      </c>
      <c r="BN6" s="85">
        <f>(BM6-BL6)/BL6</f>
        <v>-4.2495900228777354E-2</v>
      </c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</row>
    <row r="7" spans="2:133" s="77" customFormat="1">
      <c r="B7" s="251" t="s">
        <v>3</v>
      </c>
      <c r="C7" s="268">
        <v>2024</v>
      </c>
      <c r="D7" s="257">
        <v>1549</v>
      </c>
      <c r="E7" s="46">
        <v>1305</v>
      </c>
      <c r="F7" s="200">
        <f>(E7-D7)/D7</f>
        <v>-0.15752098127824402</v>
      </c>
      <c r="G7" s="268">
        <v>1641</v>
      </c>
      <c r="H7" s="268">
        <v>1141</v>
      </c>
      <c r="I7" s="70">
        <v>1078</v>
      </c>
      <c r="J7" s="208">
        <f t="shared" ref="J7:J10" si="0">(I7-H7)/H7</f>
        <v>-5.5214723926380369E-2</v>
      </c>
      <c r="K7" s="268">
        <v>1615</v>
      </c>
      <c r="L7" s="268">
        <v>1199</v>
      </c>
      <c r="M7" s="219">
        <v>1327</v>
      </c>
      <c r="N7" s="230">
        <f t="shared" ref="N7:N9" si="1">SUM(C7,G7,K7)</f>
        <v>5280</v>
      </c>
      <c r="O7" s="230">
        <f t="shared" ref="O7:O9" si="2">SUM(D7,H7,L7)</f>
        <v>3889</v>
      </c>
      <c r="P7" s="230">
        <f t="shared" ref="P7:P9" si="3">SUM(E7,I7,M7)</f>
        <v>3710</v>
      </c>
      <c r="Q7" s="224">
        <f t="shared" ref="Q7:Q10" si="4">(M7-L7)/L7</f>
        <v>0.1067556296914095</v>
      </c>
      <c r="R7" s="47">
        <v>1794</v>
      </c>
      <c r="S7" s="47">
        <v>668</v>
      </c>
      <c r="T7" s="81">
        <v>1668</v>
      </c>
      <c r="U7" s="72">
        <f t="shared" ref="U7:U10" si="5">(T7-S7)/S7</f>
        <v>1.4970059880239521</v>
      </c>
      <c r="V7" s="47">
        <v>1590</v>
      </c>
      <c r="W7" s="47">
        <v>1099</v>
      </c>
      <c r="X7" s="47">
        <v>1232</v>
      </c>
      <c r="Y7" s="72">
        <f t="shared" ref="Y7:Y10" si="6">(X7-W7)/W7</f>
        <v>0.12101910828025478</v>
      </c>
      <c r="Z7" s="47">
        <v>1656</v>
      </c>
      <c r="AA7" s="47">
        <v>1445</v>
      </c>
      <c r="AB7" s="71">
        <v>1618</v>
      </c>
      <c r="AC7" s="71">
        <f t="shared" ref="AC7:AC10" si="7">SUM(R7,V7,Z7)</f>
        <v>5040</v>
      </c>
      <c r="AD7" s="71">
        <f t="shared" ref="AD7:AE10" si="8">SUM(S7,W7,AA7)</f>
        <v>3212</v>
      </c>
      <c r="AE7" s="71">
        <f t="shared" si="8"/>
        <v>4518</v>
      </c>
      <c r="AF7" s="72">
        <f t="shared" ref="AF7:AF10" si="9">(AB7-AA7)/AA7</f>
        <v>0.11972318339100346</v>
      </c>
      <c r="AG7" s="72"/>
      <c r="AH7" s="47"/>
      <c r="AI7" s="71"/>
      <c r="AJ7" s="72"/>
      <c r="AK7" s="72"/>
      <c r="AL7" s="47"/>
      <c r="AM7" s="71"/>
      <c r="AN7" s="72"/>
      <c r="AO7" s="72"/>
      <c r="AP7" s="47"/>
      <c r="AQ7" s="79"/>
      <c r="AR7" s="79"/>
      <c r="AS7" s="79"/>
      <c r="AT7" s="79"/>
      <c r="AU7" s="72"/>
      <c r="AV7" s="72"/>
      <c r="AW7" s="47"/>
      <c r="AX7" s="71"/>
      <c r="AY7" s="72"/>
      <c r="AZ7" s="72"/>
      <c r="BA7" s="47"/>
      <c r="BB7" s="71"/>
      <c r="BC7" s="72"/>
      <c r="BD7" s="72"/>
      <c r="BE7" s="84"/>
      <c r="BF7" s="71"/>
      <c r="BG7" s="71"/>
      <c r="BH7" s="71"/>
      <c r="BI7" s="71"/>
      <c r="BJ7" s="72"/>
      <c r="BK7" s="80">
        <f t="shared" ref="BK7:BK10" si="10">SUM(C7,G7,K7,R7,V7,Z7,AG7,AK7,AO7,AV7,AZ7,BD7)</f>
        <v>10320</v>
      </c>
      <c r="BL7" s="80">
        <f t="shared" ref="BL7:BL9" si="11">SUM(D7,H7,L7,S7,W7,AA7,AH7,AL7,AP7,AW7,BA7,BE7)</f>
        <v>7101</v>
      </c>
      <c r="BM7" s="80">
        <f t="shared" ref="BM7:BM9" si="12">SUM(E7,I7,M7,T7,X7,AB7,AI7,AM7,AQ7,AX7,BB7,BF7)</f>
        <v>8228</v>
      </c>
      <c r="BN7" s="85">
        <f>(BM7-BL7)/BL7</f>
        <v>0.15871004083931842</v>
      </c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</row>
    <row r="8" spans="2:133" s="77" customFormat="1">
      <c r="B8" s="251" t="s">
        <v>4</v>
      </c>
      <c r="C8" s="268">
        <v>724</v>
      </c>
      <c r="D8" s="257">
        <v>426</v>
      </c>
      <c r="E8" s="46">
        <v>417</v>
      </c>
      <c r="F8" s="200">
        <f>(E8-D8)/D8</f>
        <v>-2.1126760563380281E-2</v>
      </c>
      <c r="G8" s="268">
        <v>758</v>
      </c>
      <c r="H8" s="268">
        <v>390</v>
      </c>
      <c r="I8" s="70">
        <v>471</v>
      </c>
      <c r="J8" s="208">
        <f t="shared" si="0"/>
        <v>0.2076923076923077</v>
      </c>
      <c r="K8" s="268">
        <v>658</v>
      </c>
      <c r="L8" s="268">
        <v>372</v>
      </c>
      <c r="M8" s="219">
        <v>584</v>
      </c>
      <c r="N8" s="230">
        <f t="shared" si="1"/>
        <v>2140</v>
      </c>
      <c r="O8" s="230">
        <f t="shared" si="2"/>
        <v>1188</v>
      </c>
      <c r="P8" s="230">
        <f t="shared" si="3"/>
        <v>1472</v>
      </c>
      <c r="Q8" s="224">
        <f t="shared" si="4"/>
        <v>0.56989247311827962</v>
      </c>
      <c r="R8" s="47">
        <v>597</v>
      </c>
      <c r="S8" s="47">
        <v>173</v>
      </c>
      <c r="T8" s="47">
        <v>590</v>
      </c>
      <c r="U8" s="72">
        <f t="shared" si="5"/>
        <v>2.4104046242774566</v>
      </c>
      <c r="V8" s="47">
        <v>995</v>
      </c>
      <c r="W8" s="47">
        <v>243</v>
      </c>
      <c r="X8" s="47">
        <v>585</v>
      </c>
      <c r="Y8" s="72">
        <f t="shared" si="6"/>
        <v>1.4074074074074074</v>
      </c>
      <c r="Z8" s="47">
        <v>700</v>
      </c>
      <c r="AA8" s="47">
        <v>424</v>
      </c>
      <c r="AB8" s="79">
        <v>606</v>
      </c>
      <c r="AC8" s="71">
        <f t="shared" si="7"/>
        <v>2292</v>
      </c>
      <c r="AD8" s="71">
        <f t="shared" si="8"/>
        <v>840</v>
      </c>
      <c r="AE8" s="71">
        <f t="shared" si="8"/>
        <v>1781</v>
      </c>
      <c r="AF8" s="72">
        <f t="shared" si="9"/>
        <v>0.42924528301886794</v>
      </c>
      <c r="AG8" s="72"/>
      <c r="AH8" s="47"/>
      <c r="AI8" s="71"/>
      <c r="AJ8" s="72"/>
      <c r="AK8" s="72"/>
      <c r="AL8" s="47"/>
      <c r="AM8" s="71"/>
      <c r="AN8" s="72"/>
      <c r="AO8" s="72"/>
      <c r="AP8" s="47"/>
      <c r="AQ8" s="79"/>
      <c r="AR8" s="79"/>
      <c r="AS8" s="79"/>
      <c r="AT8" s="79"/>
      <c r="AU8" s="72"/>
      <c r="AV8" s="72"/>
      <c r="AW8" s="47"/>
      <c r="AX8" s="71"/>
      <c r="AY8" s="72"/>
      <c r="AZ8" s="72"/>
      <c r="BA8" s="47"/>
      <c r="BB8" s="71"/>
      <c r="BC8" s="72"/>
      <c r="BD8" s="72"/>
      <c r="BE8" s="84"/>
      <c r="BF8" s="71"/>
      <c r="BG8" s="71"/>
      <c r="BH8" s="71"/>
      <c r="BI8" s="71"/>
      <c r="BJ8" s="72"/>
      <c r="BK8" s="80">
        <f t="shared" si="10"/>
        <v>4432</v>
      </c>
      <c r="BL8" s="80">
        <f t="shared" si="11"/>
        <v>2028</v>
      </c>
      <c r="BM8" s="80">
        <f t="shared" si="12"/>
        <v>3253</v>
      </c>
      <c r="BN8" s="85">
        <f>(BM8-BL8)/BL8</f>
        <v>0.604043392504931</v>
      </c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</row>
    <row r="9" spans="2:133" s="77" customFormat="1">
      <c r="B9" s="251" t="s">
        <v>5</v>
      </c>
      <c r="C9" s="268">
        <v>173</v>
      </c>
      <c r="D9" s="257">
        <v>8</v>
      </c>
      <c r="E9" s="46">
        <v>25</v>
      </c>
      <c r="F9" s="200">
        <f>(E9-D9)/D9</f>
        <v>2.125</v>
      </c>
      <c r="G9" s="268">
        <v>207</v>
      </c>
      <c r="H9" s="268">
        <v>70</v>
      </c>
      <c r="I9" s="70">
        <v>58</v>
      </c>
      <c r="J9" s="208">
        <f t="shared" si="0"/>
        <v>-0.17142857142857143</v>
      </c>
      <c r="K9" s="268">
        <v>133</v>
      </c>
      <c r="L9" s="268">
        <v>6</v>
      </c>
      <c r="M9" s="219">
        <v>16</v>
      </c>
      <c r="N9" s="230">
        <f t="shared" si="1"/>
        <v>513</v>
      </c>
      <c r="O9" s="230">
        <f t="shared" si="2"/>
        <v>84</v>
      </c>
      <c r="P9" s="230">
        <f t="shared" si="3"/>
        <v>99</v>
      </c>
      <c r="Q9" s="224">
        <f t="shared" si="4"/>
        <v>1.6666666666666667</v>
      </c>
      <c r="R9" s="47">
        <v>211</v>
      </c>
      <c r="S9" s="47">
        <v>21</v>
      </c>
      <c r="T9" s="47">
        <v>89</v>
      </c>
      <c r="U9" s="72">
        <f t="shared" si="5"/>
        <v>3.2380952380952381</v>
      </c>
      <c r="V9" s="47">
        <v>106</v>
      </c>
      <c r="W9" s="47">
        <v>25</v>
      </c>
      <c r="X9" s="47">
        <v>69</v>
      </c>
      <c r="Y9" s="72">
        <f t="shared" si="6"/>
        <v>1.76</v>
      </c>
      <c r="Z9" s="47">
        <v>47</v>
      </c>
      <c r="AA9" s="87">
        <v>26</v>
      </c>
      <c r="AB9" s="79">
        <v>151</v>
      </c>
      <c r="AC9" s="71">
        <f t="shared" si="7"/>
        <v>364</v>
      </c>
      <c r="AD9" s="71">
        <f t="shared" si="8"/>
        <v>72</v>
      </c>
      <c r="AE9" s="71">
        <f t="shared" si="8"/>
        <v>309</v>
      </c>
      <c r="AF9" s="72">
        <f t="shared" si="9"/>
        <v>4.8076923076923075</v>
      </c>
      <c r="AG9" s="72"/>
      <c r="AH9" s="47"/>
      <c r="AI9" s="71"/>
      <c r="AJ9" s="72"/>
      <c r="AK9" s="72"/>
      <c r="AL9" s="47"/>
      <c r="AM9" s="71"/>
      <c r="AN9" s="72"/>
      <c r="AO9" s="195"/>
      <c r="AP9" s="71"/>
      <c r="AQ9" s="237"/>
      <c r="AR9" s="237"/>
      <c r="AS9" s="237"/>
      <c r="AT9" s="237"/>
      <c r="AU9" s="72"/>
      <c r="AV9" s="195"/>
      <c r="AW9" s="71"/>
      <c r="AX9" s="245"/>
      <c r="AY9" s="72"/>
      <c r="AZ9" s="195"/>
      <c r="BA9" s="71"/>
      <c r="BB9" s="245"/>
      <c r="BC9" s="72"/>
      <c r="BD9" s="72"/>
      <c r="BE9" s="84"/>
      <c r="BF9" s="71"/>
      <c r="BG9" s="71"/>
      <c r="BH9" s="71"/>
      <c r="BI9" s="71"/>
      <c r="BJ9" s="72"/>
      <c r="BK9" s="80">
        <f t="shared" si="10"/>
        <v>877</v>
      </c>
      <c r="BL9" s="80">
        <f t="shared" si="11"/>
        <v>156</v>
      </c>
      <c r="BM9" s="80">
        <f t="shared" si="12"/>
        <v>408</v>
      </c>
      <c r="BN9" s="85">
        <f>(BM9-BL9)/BL9</f>
        <v>1.6153846153846154</v>
      </c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</row>
    <row r="10" spans="2:133" s="78" customFormat="1">
      <c r="B10" s="252" t="s">
        <v>7</v>
      </c>
      <c r="C10" s="258">
        <f>SUM(C6:C9)</f>
        <v>16752</v>
      </c>
      <c r="D10" s="258">
        <f>SUM(D6:D9)</f>
        <v>14351</v>
      </c>
      <c r="E10" s="80">
        <f>SUM(E6:E9)</f>
        <v>7660</v>
      </c>
      <c r="F10" s="73">
        <f>(E10-D10)/D10</f>
        <v>-0.46623928646087381</v>
      </c>
      <c r="G10" s="80">
        <f>SUM(G6:G9)</f>
        <v>14533</v>
      </c>
      <c r="H10" s="80">
        <f>SUM(H6:H9)</f>
        <v>10437</v>
      </c>
      <c r="I10" s="80">
        <f>SUM(I6:I9)</f>
        <v>8504</v>
      </c>
      <c r="J10" s="302">
        <f t="shared" si="0"/>
        <v>-0.18520647695697998</v>
      </c>
      <c r="K10" s="80">
        <f>SUM(K6:K9)</f>
        <v>12105</v>
      </c>
      <c r="L10" s="80">
        <f>SUM(L6:L9)</f>
        <v>8231</v>
      </c>
      <c r="M10" s="80">
        <f>SUM(M6:M9)</f>
        <v>9608</v>
      </c>
      <c r="N10" s="228">
        <f>SUM(N6:N9)</f>
        <v>43390</v>
      </c>
      <c r="O10" s="228">
        <f t="shared" ref="O10:P10" si="13">SUM(O6:O9)</f>
        <v>33019</v>
      </c>
      <c r="P10" s="228">
        <f t="shared" si="13"/>
        <v>25772</v>
      </c>
      <c r="Q10" s="299">
        <f t="shared" si="4"/>
        <v>0.16729437492406754</v>
      </c>
      <c r="R10" s="80">
        <f>SUM(R6:R9)</f>
        <v>11123</v>
      </c>
      <c r="S10" s="80">
        <f>SUM(S6:S9)</f>
        <v>5183</v>
      </c>
      <c r="T10" s="80">
        <f>SUM(T6:T9)</f>
        <v>9209</v>
      </c>
      <c r="U10" s="73">
        <f t="shared" si="5"/>
        <v>0.77677021030291338</v>
      </c>
      <c r="V10" s="80">
        <f>SUM(V6:V9)</f>
        <v>15546</v>
      </c>
      <c r="W10" s="80">
        <f>SUM(W6:W9)</f>
        <v>8521</v>
      </c>
      <c r="X10" s="80">
        <f>SUM(X6:X9)</f>
        <v>10107</v>
      </c>
      <c r="Y10" s="72">
        <f t="shared" si="6"/>
        <v>0.18612838868677387</v>
      </c>
      <c r="Z10" s="80">
        <f>SUM(Z6:Z9)</f>
        <v>16280</v>
      </c>
      <c r="AA10" s="80">
        <f>SUM(AA6:AA9)</f>
        <v>11955</v>
      </c>
      <c r="AB10" s="80">
        <f>SUM(AB6:AB9)</f>
        <v>14095</v>
      </c>
      <c r="AC10" s="88">
        <f t="shared" si="7"/>
        <v>42949</v>
      </c>
      <c r="AD10" s="88">
        <f t="shared" si="8"/>
        <v>25659</v>
      </c>
      <c r="AE10" s="88">
        <f t="shared" si="8"/>
        <v>33411</v>
      </c>
      <c r="AF10" s="73">
        <f t="shared" si="9"/>
        <v>0.17900460058552906</v>
      </c>
      <c r="AG10" s="73"/>
      <c r="AH10" s="80"/>
      <c r="AI10" s="80"/>
      <c r="AJ10" s="73"/>
      <c r="AK10" s="73"/>
      <c r="AL10" s="80"/>
      <c r="AM10" s="80"/>
      <c r="AN10" s="73"/>
      <c r="AO10" s="73"/>
      <c r="AP10" s="228"/>
      <c r="AQ10" s="80"/>
      <c r="AR10" s="88"/>
      <c r="AS10" s="88"/>
      <c r="AT10" s="88"/>
      <c r="AU10" s="73"/>
      <c r="AV10" s="73"/>
      <c r="AW10" s="228"/>
      <c r="AX10" s="80"/>
      <c r="AY10" s="73"/>
      <c r="AZ10" s="73"/>
      <c r="BA10" s="228"/>
      <c r="BB10" s="80"/>
      <c r="BC10" s="73"/>
      <c r="BD10" s="73"/>
      <c r="BE10" s="80"/>
      <c r="BF10" s="80"/>
      <c r="BG10" s="88"/>
      <c r="BH10" s="88"/>
      <c r="BI10" s="88"/>
      <c r="BJ10" s="73"/>
      <c r="BK10" s="80">
        <f t="shared" si="10"/>
        <v>86339</v>
      </c>
      <c r="BL10" s="80">
        <f>SUM(D10,H10,L10,S10,W10,AA10,AH10,AL10,AP10,AW10,BA10,BE10)</f>
        <v>58678</v>
      </c>
      <c r="BM10" s="80">
        <f>SUM(E10,I10,M10,T10,X10,AB10,AI10,AM10,AQ10,AX10,BB10,BF10)</f>
        <v>59183</v>
      </c>
      <c r="BN10" s="89">
        <f>(BM10-BL10)/BL10</f>
        <v>8.6062919663246872E-3</v>
      </c>
      <c r="BO10" s="90"/>
      <c r="BP10" s="86"/>
      <c r="BQ10" s="91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</row>
    <row r="12" spans="2:133">
      <c r="B12" s="21" t="s">
        <v>48</v>
      </c>
      <c r="L12" s="142"/>
      <c r="S12" s="142"/>
      <c r="W12" s="142"/>
      <c r="AA12" s="142"/>
      <c r="AH12" s="142"/>
      <c r="AL12" s="142"/>
      <c r="AP12" s="142"/>
      <c r="AW12" s="142"/>
      <c r="BA12" s="142"/>
      <c r="BE12" s="142"/>
    </row>
    <row r="13" spans="2:133"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L13" s="142"/>
      <c r="BM13" s="142"/>
    </row>
    <row r="14" spans="2:133">
      <c r="D14" s="22"/>
      <c r="E14" s="22"/>
      <c r="F14" s="22"/>
      <c r="G14" s="63"/>
      <c r="H14" s="22"/>
      <c r="I14" s="22"/>
    </row>
    <row r="15" spans="2:133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133">
      <c r="B16" s="51"/>
      <c r="D16" s="51"/>
      <c r="E16" s="51"/>
      <c r="F16" s="51"/>
      <c r="H16" s="51"/>
      <c r="I16" s="51"/>
      <c r="J16" s="51"/>
      <c r="L16" s="51"/>
      <c r="M16" s="51"/>
      <c r="Q16" s="51"/>
      <c r="S16" s="51"/>
      <c r="T16" s="51"/>
      <c r="U16" s="51"/>
      <c r="W16" s="51"/>
      <c r="X16" s="51"/>
      <c r="Y16" s="51"/>
      <c r="AA16" s="51"/>
      <c r="AB16" s="51"/>
      <c r="AF16" s="51"/>
      <c r="AH16" s="51"/>
      <c r="AI16" s="51"/>
      <c r="AJ16" s="51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2:56">
      <c r="B17" s="51"/>
      <c r="D17" s="142"/>
      <c r="E17" s="51"/>
      <c r="F17" s="51"/>
      <c r="H17" s="51"/>
      <c r="I17" s="51"/>
      <c r="J17" s="51"/>
      <c r="L17" s="51"/>
      <c r="M17" s="51"/>
      <c r="Q17" s="51"/>
      <c r="S17" s="51"/>
      <c r="T17" s="51"/>
      <c r="U17" s="51"/>
      <c r="W17" s="51"/>
      <c r="X17" s="51"/>
      <c r="Y17" s="51"/>
      <c r="AA17" s="51"/>
      <c r="AB17" s="51"/>
      <c r="AF17" s="51"/>
      <c r="AH17" s="51"/>
      <c r="AI17" s="51"/>
      <c r="AJ17" s="51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2:56">
      <c r="B18" s="51"/>
      <c r="D18" s="51"/>
      <c r="E18" s="51"/>
      <c r="F18" s="51"/>
      <c r="H18" s="51"/>
      <c r="I18" s="51"/>
      <c r="J18" s="51"/>
      <c r="L18" s="51"/>
      <c r="M18" s="51"/>
      <c r="Q18" s="51"/>
      <c r="S18" s="51"/>
      <c r="T18" s="51"/>
      <c r="U18" s="51"/>
      <c r="W18" s="51"/>
      <c r="X18" s="51"/>
      <c r="Y18" s="51"/>
      <c r="AA18" s="51"/>
      <c r="AB18" s="51"/>
      <c r="AF18" s="51"/>
      <c r="AH18" s="51"/>
      <c r="AI18" s="51"/>
      <c r="AJ18" s="51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2:56">
      <c r="B19" s="51"/>
      <c r="D19" s="51"/>
      <c r="E19" s="51"/>
      <c r="F19" s="51"/>
      <c r="H19" s="51"/>
      <c r="I19" s="51"/>
      <c r="J19" s="51"/>
      <c r="L19" s="51"/>
      <c r="M19" s="51"/>
      <c r="Q19" s="51"/>
      <c r="S19" s="51"/>
      <c r="T19" s="51"/>
      <c r="U19" s="51"/>
      <c r="W19" s="51"/>
      <c r="X19" s="51"/>
      <c r="Y19" s="51"/>
      <c r="AA19" s="51"/>
      <c r="AB19" s="51"/>
      <c r="AF19" s="51"/>
      <c r="AH19" s="51"/>
      <c r="AI19" s="51"/>
      <c r="AJ19" s="51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2:56">
      <c r="B20" s="51"/>
      <c r="D20" s="51"/>
      <c r="E20" s="51"/>
      <c r="F20" s="51"/>
      <c r="H20" s="51"/>
      <c r="I20" s="51"/>
      <c r="J20" s="51"/>
      <c r="L20" s="51"/>
      <c r="M20" s="51"/>
      <c r="Q20" s="51"/>
      <c r="S20" s="51"/>
      <c r="T20" s="51"/>
      <c r="U20" s="51"/>
      <c r="W20" s="51"/>
      <c r="X20" s="51"/>
      <c r="Y20" s="51"/>
      <c r="AA20" s="51"/>
      <c r="AB20" s="51"/>
      <c r="AF20" s="51"/>
      <c r="AH20" s="51"/>
      <c r="AI20" s="51"/>
      <c r="AJ20" s="51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2:56">
      <c r="B21" s="51"/>
      <c r="D21" s="51"/>
      <c r="E21" s="51"/>
      <c r="F21" s="51"/>
      <c r="H21" s="51"/>
      <c r="I21" s="51"/>
      <c r="J21" s="51"/>
      <c r="L21" s="51"/>
      <c r="M21" s="51"/>
      <c r="Q21" s="51"/>
      <c r="S21" s="51"/>
      <c r="T21" s="51"/>
      <c r="U21" s="51"/>
      <c r="W21" s="51"/>
      <c r="X21" s="51"/>
      <c r="Y21" s="51"/>
      <c r="AA21" s="51"/>
      <c r="AB21" s="51"/>
      <c r="AF21" s="51"/>
      <c r="AH21" s="51"/>
      <c r="AI21" s="51"/>
      <c r="AJ21" s="51"/>
    </row>
    <row r="22" spans="2:56">
      <c r="B22" s="51"/>
      <c r="D22" s="51"/>
      <c r="E22" s="51"/>
      <c r="F22" s="51"/>
      <c r="H22" s="51"/>
      <c r="I22" s="51"/>
      <c r="J22" s="51"/>
      <c r="L22" s="51"/>
      <c r="M22" s="51"/>
      <c r="Q22" s="51"/>
      <c r="S22" s="51"/>
      <c r="T22" s="51"/>
      <c r="U22" s="51"/>
      <c r="W22" s="51"/>
      <c r="X22" s="51"/>
      <c r="Y22" s="51"/>
      <c r="AA22" s="51"/>
      <c r="AB22" s="51"/>
      <c r="AF22" s="51"/>
      <c r="AH22" s="51"/>
      <c r="AI22" s="51"/>
      <c r="AJ22" s="51"/>
    </row>
    <row r="23" spans="2:56">
      <c r="B23" s="51"/>
      <c r="D23" s="51"/>
      <c r="E23" s="51"/>
      <c r="F23" s="51"/>
      <c r="H23" s="51"/>
      <c r="I23" s="51"/>
      <c r="J23" s="51"/>
      <c r="L23" s="51"/>
      <c r="M23" s="51"/>
      <c r="Q23" s="51"/>
      <c r="S23" s="51"/>
      <c r="T23" s="51"/>
      <c r="U23" s="51"/>
      <c r="W23" s="51"/>
      <c r="X23" s="51"/>
      <c r="Y23" s="51"/>
      <c r="AA23" s="51"/>
      <c r="AB23" s="51"/>
      <c r="AF23" s="51"/>
      <c r="AH23" s="51"/>
      <c r="AI23" s="51"/>
      <c r="AJ23" s="51"/>
    </row>
    <row r="24" spans="2:56">
      <c r="B24" s="51"/>
      <c r="D24" s="51"/>
      <c r="E24" s="51"/>
      <c r="F24" s="51"/>
      <c r="H24" s="51"/>
      <c r="I24" s="51"/>
      <c r="J24" s="51"/>
      <c r="L24" s="51"/>
      <c r="M24" s="51"/>
      <c r="Q24" s="51"/>
      <c r="S24" s="51"/>
      <c r="T24" s="51"/>
      <c r="U24" s="51"/>
      <c r="W24" s="51"/>
      <c r="X24" s="51"/>
      <c r="Y24" s="51"/>
      <c r="AA24" s="51"/>
      <c r="AB24" s="51"/>
      <c r="AF24" s="51"/>
      <c r="AH24" s="51"/>
      <c r="AI24" s="51"/>
      <c r="AJ24" s="51"/>
    </row>
    <row r="25" spans="2:56">
      <c r="B25" s="51"/>
      <c r="D25" s="51"/>
      <c r="E25" s="51"/>
      <c r="F25" s="51"/>
      <c r="H25" s="51"/>
      <c r="I25" s="51"/>
      <c r="J25" s="51"/>
      <c r="L25" s="51"/>
      <c r="M25" s="51"/>
      <c r="Q25" s="51"/>
      <c r="S25" s="51"/>
      <c r="T25" s="51"/>
      <c r="U25" s="51"/>
      <c r="W25" s="51"/>
      <c r="X25" s="51"/>
      <c r="Y25" s="51"/>
      <c r="AA25" s="51"/>
      <c r="AB25" s="51"/>
      <c r="AF25" s="51"/>
      <c r="AH25" s="51"/>
      <c r="AI25" s="51"/>
      <c r="AJ25" s="51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pageMargins left="0.7" right="0.7" top="0.78740157499999996" bottom="0.78740157499999996" header="0.3" footer="0.3"/>
  <pageSetup paperSize="9" orientation="portrait" r:id="rId1"/>
  <ignoredErrors>
    <ignoredError sqref="C10:E10 G10:I10 K10 AA10:AB10 V10:X10 R10:T10 Z10" formulaRange="1"/>
    <ignoredError sqref="F10 L10:M10" formula="1" formulaRange="1"/>
    <ignoredError sqref="J10 Q10 U10 Y10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D60C-ED60-461F-AE0A-DCC556024416}">
  <dimension ref="A1:BQ30"/>
  <sheetViews>
    <sheetView topLeftCell="B1" zoomScale="99" zoomScaleNormal="99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25.85546875" style="21" customWidth="1"/>
    <col min="3" max="3" width="8.28515625" style="51" customWidth="1"/>
    <col min="4" max="4" width="11.42578125" style="21" customWidth="1"/>
    <col min="5" max="5" width="10.140625" style="21" customWidth="1"/>
    <col min="6" max="6" width="11.5703125" style="21" customWidth="1"/>
    <col min="7" max="7" width="9.85546875" style="51" customWidth="1"/>
    <col min="8" max="8" width="10.5703125" style="21" customWidth="1"/>
    <col min="9" max="9" width="9.42578125" style="21" customWidth="1"/>
    <col min="10" max="10" width="9.5703125" style="21" customWidth="1"/>
    <col min="11" max="11" width="9.42578125" style="51" customWidth="1"/>
    <col min="12" max="12" width="10.28515625" style="21" customWidth="1"/>
    <col min="13" max="13" width="9.28515625" style="21" customWidth="1"/>
    <col min="14" max="14" width="8.5703125" style="51" customWidth="1"/>
    <col min="15" max="15" width="8.42578125" style="51" customWidth="1"/>
    <col min="16" max="16" width="9.42578125" style="51" customWidth="1"/>
    <col min="17" max="17" width="10" style="21" customWidth="1"/>
    <col min="18" max="18" width="10" style="51" customWidth="1"/>
    <col min="19" max="19" width="9.85546875" style="21" customWidth="1"/>
    <col min="20" max="20" width="9.42578125" style="21" customWidth="1"/>
    <col min="21" max="21" width="11.140625" style="21" customWidth="1"/>
    <col min="22" max="22" width="11" style="51" customWidth="1"/>
    <col min="23" max="23" width="10.5703125" style="21" customWidth="1"/>
    <col min="24" max="24" width="10.42578125" style="21" customWidth="1"/>
    <col min="25" max="25" width="10.7109375" style="21" customWidth="1"/>
    <col min="26" max="26" width="9.140625" style="51" customWidth="1"/>
    <col min="27" max="27" width="11.140625" style="21" customWidth="1"/>
    <col min="28" max="28" width="10.85546875" style="21" customWidth="1"/>
    <col min="29" max="29" width="9.7109375" style="51" customWidth="1"/>
    <col min="30" max="30" width="10" style="51" customWidth="1"/>
    <col min="31" max="31" width="8.5703125" style="51" customWidth="1"/>
    <col min="32" max="32" width="11.42578125" style="21"/>
    <col min="33" max="33" width="10.42578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25</v>
      </c>
      <c r="C1" s="57"/>
    </row>
    <row r="2" spans="2:69" s="51" customFormat="1">
      <c r="B2" s="57"/>
      <c r="C2" s="57"/>
      <c r="BK2" s="316"/>
    </row>
    <row r="3" spans="2:69">
      <c r="AJ3" s="22"/>
      <c r="AK3" s="63"/>
      <c r="AL3" s="22"/>
      <c r="AM3" s="22"/>
      <c r="AN3" s="22"/>
      <c r="AO3" s="63"/>
      <c r="AP3" s="22"/>
      <c r="AQ3" s="22"/>
      <c r="AR3" s="63"/>
      <c r="AS3" s="63"/>
      <c r="AT3" s="63"/>
      <c r="AU3" s="22"/>
      <c r="AV3" s="63"/>
      <c r="AW3" s="22"/>
      <c r="AX3" s="22"/>
      <c r="AY3" s="22"/>
      <c r="AZ3" s="63"/>
      <c r="BA3" s="22"/>
      <c r="BB3" s="22"/>
      <c r="BC3" s="22"/>
      <c r="BD3" s="63"/>
    </row>
    <row r="4" spans="2:69" s="51" customFormat="1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s="51" customFormat="1" ht="15" customHeight="1">
      <c r="B5" s="247"/>
      <c r="C5" s="261">
        <v>2019</v>
      </c>
      <c r="D5" s="253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58">
        <v>2020</v>
      </c>
      <c r="BF5" s="58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 s="51" customFormat="1">
      <c r="B6" s="248" t="s">
        <v>79</v>
      </c>
      <c r="C6" s="269">
        <v>92746</v>
      </c>
      <c r="D6" s="256">
        <v>102922</v>
      </c>
      <c r="E6" s="83">
        <v>95941</v>
      </c>
      <c r="F6" s="200">
        <f>(E6-D6)/D6</f>
        <v>-6.7828063970773983E-2</v>
      </c>
      <c r="G6" s="268">
        <v>95912</v>
      </c>
      <c r="H6" s="256">
        <v>108055</v>
      </c>
      <c r="I6" s="256">
        <v>109898</v>
      </c>
      <c r="J6" s="200">
        <f>(I6-H6)/H6</f>
        <v>1.7056128823284437E-2</v>
      </c>
      <c r="K6" s="268">
        <v>128808</v>
      </c>
      <c r="L6" s="294">
        <v>157979</v>
      </c>
      <c r="M6" s="218">
        <v>135395</v>
      </c>
      <c r="N6" s="230">
        <f>SUM(C6,G6,K6)</f>
        <v>317466</v>
      </c>
      <c r="O6" s="230">
        <f>SUM(D6,H6,L6)</f>
        <v>368956</v>
      </c>
      <c r="P6" s="230">
        <f>SUM(E6,I6,M6)</f>
        <v>341234</v>
      </c>
      <c r="Q6" s="224">
        <f>(M6-L6)/L6</f>
        <v>-0.14295570930313523</v>
      </c>
      <c r="R6" s="53">
        <v>149818</v>
      </c>
      <c r="S6" s="53">
        <v>53283</v>
      </c>
      <c r="T6" s="47">
        <v>168122</v>
      </c>
      <c r="U6" s="72">
        <f>(T6-S6)/S6</f>
        <v>2.1552652816095188</v>
      </c>
      <c r="V6" s="53">
        <v>115723</v>
      </c>
      <c r="W6" s="53">
        <v>60487</v>
      </c>
      <c r="X6" s="47">
        <v>123949</v>
      </c>
      <c r="Y6" s="72">
        <f>(X6-W6)/W6</f>
        <v>1.0491841222080778</v>
      </c>
      <c r="Z6" s="53">
        <v>128644</v>
      </c>
      <c r="AA6" s="53">
        <v>106422</v>
      </c>
      <c r="AB6" s="71">
        <v>146761</v>
      </c>
      <c r="AC6" s="71">
        <f>SUM(R6,V6,Z6)</f>
        <v>394185</v>
      </c>
      <c r="AD6" s="71">
        <f>SUM(S6,W6,AA6)</f>
        <v>220192</v>
      </c>
      <c r="AE6" s="71">
        <f>SUM(T6,X6,AB6)</f>
        <v>438832</v>
      </c>
      <c r="AF6" s="72">
        <f>(AB6-AA6)/AA6</f>
        <v>0.37904756535302853</v>
      </c>
      <c r="AG6" s="72"/>
      <c r="AH6" s="2"/>
      <c r="AI6" s="53"/>
      <c r="AJ6" s="72"/>
      <c r="AK6" s="195"/>
      <c r="AL6" s="64"/>
      <c r="AM6" s="53"/>
      <c r="AN6" s="72"/>
      <c r="AO6" s="72"/>
      <c r="AP6" s="2"/>
      <c r="AQ6" s="53"/>
      <c r="AR6" s="53"/>
      <c r="AS6" s="53"/>
      <c r="AT6" s="53"/>
      <c r="AU6" s="72"/>
      <c r="AV6" s="72"/>
      <c r="AW6" s="2"/>
      <c r="AX6" s="53"/>
      <c r="AY6" s="72"/>
      <c r="AZ6" s="72"/>
      <c r="BA6" s="2"/>
      <c r="BB6" s="52"/>
      <c r="BC6" s="72"/>
      <c r="BD6" s="72"/>
      <c r="BE6" s="4"/>
      <c r="BF6" s="52"/>
      <c r="BG6" s="52"/>
      <c r="BH6" s="52"/>
      <c r="BI6" s="52"/>
      <c r="BJ6" s="72"/>
      <c r="BK6" s="3">
        <f>SUM(C6,G6,K6,R6,V6,Z6,AG6,AK6,AO6,AV6,AZ6,BD6)</f>
        <v>711651</v>
      </c>
      <c r="BL6" s="3">
        <f>SUM(D6,H6,L6,S6,W6,AA6,AH6,AL6,AP6,AW6,BA6,BE6)</f>
        <v>589148</v>
      </c>
      <c r="BM6" s="3">
        <f>SUM(E6,I6,M6,T6,X6,AB6,AI6,AM6,AQ6,AX6,BB6,BF6)</f>
        <v>780066</v>
      </c>
      <c r="BN6" s="13">
        <f>(BM6-BL6)/BL6</f>
        <v>0.32405779193004136</v>
      </c>
    </row>
    <row r="7" spans="2:69" s="51" customFormat="1">
      <c r="B7" s="248" t="s">
        <v>113</v>
      </c>
      <c r="C7" s="269">
        <v>7596</v>
      </c>
      <c r="D7" s="256">
        <v>8121</v>
      </c>
      <c r="E7" s="83">
        <v>7493</v>
      </c>
      <c r="F7" s="200">
        <f>(E7-D7)/D7</f>
        <v>-7.7330378032262032E-2</v>
      </c>
      <c r="G7" s="268">
        <v>8492</v>
      </c>
      <c r="H7" s="290">
        <v>8174</v>
      </c>
      <c r="I7" s="256">
        <v>9200</v>
      </c>
      <c r="J7" s="200">
        <f t="shared" ref="J7:J10" si="0">(I7-H7)/H7</f>
        <v>0.12551994127722046</v>
      </c>
      <c r="K7" s="268">
        <v>9120</v>
      </c>
      <c r="L7" s="294">
        <v>9424</v>
      </c>
      <c r="M7" s="218">
        <v>11571</v>
      </c>
      <c r="N7" s="230">
        <f t="shared" ref="N7:N9" si="1">SUM(C7,G7,K7)</f>
        <v>25208</v>
      </c>
      <c r="O7" s="230">
        <f t="shared" ref="O7:O9" si="2">SUM(D7,H7,L7)</f>
        <v>25719</v>
      </c>
      <c r="P7" s="230">
        <f t="shared" ref="P7:P9" si="3">SUM(E7,I7,M7)</f>
        <v>28264</v>
      </c>
      <c r="Q7" s="224">
        <f t="shared" ref="Q7:Q10" si="4">(M7-L7)/L7</f>
        <v>0.22782258064516128</v>
      </c>
      <c r="R7" s="53">
        <v>10238</v>
      </c>
      <c r="S7" s="53">
        <v>5892</v>
      </c>
      <c r="T7" s="71">
        <v>14909</v>
      </c>
      <c r="U7" s="72">
        <f t="shared" ref="U7:U10" si="5">(T7-S7)/S7</f>
        <v>1.5303801765105227</v>
      </c>
      <c r="V7" s="53">
        <v>7880</v>
      </c>
      <c r="W7" s="53">
        <v>5962</v>
      </c>
      <c r="X7" s="71">
        <v>11676</v>
      </c>
      <c r="Y7" s="72">
        <f t="shared" ref="Y7:Y10" si="6">(X7-W7)/W7</f>
        <v>0.95840322039584036</v>
      </c>
      <c r="Z7" s="53">
        <v>8754</v>
      </c>
      <c r="AA7" s="53">
        <v>8363</v>
      </c>
      <c r="AB7" s="71">
        <v>11047</v>
      </c>
      <c r="AC7" s="71">
        <f t="shared" ref="AC7:AC9" si="7">SUM(R7,V7,Z7)</f>
        <v>26872</v>
      </c>
      <c r="AD7" s="71">
        <f t="shared" ref="AD7:AD9" si="8">SUM(S7,W7,AA7)</f>
        <v>20217</v>
      </c>
      <c r="AE7" s="71">
        <f t="shared" ref="AE7:AE9" si="9">SUM(T7,X7,AB7)</f>
        <v>37632</v>
      </c>
      <c r="AF7" s="72">
        <f t="shared" ref="AF7:AF10" si="10">(AB7-AA7)/AA7</f>
        <v>0.32093746263302642</v>
      </c>
      <c r="AG7" s="72"/>
      <c r="AH7" s="53"/>
      <c r="AI7" s="53"/>
      <c r="AJ7" s="72"/>
      <c r="AK7" s="72"/>
      <c r="AL7" s="53"/>
      <c r="AM7" s="53"/>
      <c r="AN7" s="72"/>
      <c r="AO7" s="72"/>
      <c r="AP7" s="53"/>
      <c r="AQ7" s="53"/>
      <c r="AR7" s="53"/>
      <c r="AS7" s="53"/>
      <c r="AT7" s="53"/>
      <c r="AU7" s="72"/>
      <c r="AV7" s="72"/>
      <c r="AW7" s="53"/>
      <c r="AX7" s="53"/>
      <c r="AY7" s="72"/>
      <c r="AZ7" s="72"/>
      <c r="BA7" s="53"/>
      <c r="BB7" s="52"/>
      <c r="BC7" s="72"/>
      <c r="BD7" s="72"/>
      <c r="BE7" s="55"/>
      <c r="BF7" s="52"/>
      <c r="BG7" s="52"/>
      <c r="BH7" s="52"/>
      <c r="BI7" s="52"/>
      <c r="BJ7" s="72"/>
      <c r="BK7" s="3">
        <f t="shared" ref="BK7:BK10" si="11">SUM(C7,G7,K7,R7,V7,Z7,AG7,AK7,AO7,AV7,AZ7,BD7)</f>
        <v>52080</v>
      </c>
      <c r="BL7" s="3">
        <f t="shared" ref="BL7:BL9" si="12">SUM(D7,H7,L7,S7,W7,AA7,AH7,AL7,AP7,AW7,BA7,BE7)</f>
        <v>45936</v>
      </c>
      <c r="BM7" s="3">
        <f t="shared" ref="BM7:BM9" si="13">SUM(E7,I7,M7,T7,X7,AB7,AI7,AM7,AQ7,AX7,BB7,BF7)</f>
        <v>65896</v>
      </c>
      <c r="BN7" s="13">
        <f>(BM7-BL7)/BL7</f>
        <v>0.43451758969000348</v>
      </c>
    </row>
    <row r="8" spans="2:69" s="51" customFormat="1">
      <c r="B8" s="248" t="s">
        <v>4</v>
      </c>
      <c r="C8" s="270">
        <v>5053</v>
      </c>
      <c r="D8" s="257">
        <v>5857</v>
      </c>
      <c r="E8" s="46">
        <v>4891</v>
      </c>
      <c r="F8" s="200">
        <f>(E8-D8)/D8</f>
        <v>-0.1649308519719993</v>
      </c>
      <c r="G8" s="268">
        <v>5553</v>
      </c>
      <c r="H8" s="291">
        <v>5513</v>
      </c>
      <c r="I8" s="204">
        <v>6093</v>
      </c>
      <c r="J8" s="200">
        <f t="shared" si="0"/>
        <v>0.10520587701795756</v>
      </c>
      <c r="K8" s="268">
        <v>6537</v>
      </c>
      <c r="L8" s="268">
        <v>5293</v>
      </c>
      <c r="M8" s="219">
        <v>7701</v>
      </c>
      <c r="N8" s="230">
        <f t="shared" si="1"/>
        <v>17143</v>
      </c>
      <c r="O8" s="230">
        <f t="shared" si="2"/>
        <v>16663</v>
      </c>
      <c r="P8" s="230">
        <f t="shared" si="3"/>
        <v>18685</v>
      </c>
      <c r="Q8" s="224">
        <f t="shared" si="4"/>
        <v>0.45494048743623655</v>
      </c>
      <c r="R8" s="53">
        <v>6853</v>
      </c>
      <c r="S8" s="53">
        <v>4599</v>
      </c>
      <c r="T8" s="47">
        <v>9412</v>
      </c>
      <c r="U8" s="72">
        <f t="shared" si="5"/>
        <v>1.0465318547510329</v>
      </c>
      <c r="V8" s="53">
        <v>4804</v>
      </c>
      <c r="W8" s="53">
        <v>4332</v>
      </c>
      <c r="X8" s="47">
        <v>7304</v>
      </c>
      <c r="Y8" s="72">
        <f t="shared" si="6"/>
        <v>0.68605724838411819</v>
      </c>
      <c r="Z8" s="53">
        <v>6044</v>
      </c>
      <c r="AA8" s="53">
        <v>5041</v>
      </c>
      <c r="AB8" s="71">
        <v>8509</v>
      </c>
      <c r="AC8" s="71">
        <f t="shared" si="7"/>
        <v>17701</v>
      </c>
      <c r="AD8" s="71">
        <f t="shared" si="8"/>
        <v>13972</v>
      </c>
      <c r="AE8" s="71">
        <f t="shared" si="9"/>
        <v>25225</v>
      </c>
      <c r="AF8" s="72">
        <f t="shared" si="10"/>
        <v>0.68795873834556631</v>
      </c>
      <c r="AG8" s="72"/>
      <c r="AH8" s="2"/>
      <c r="AI8" s="53"/>
      <c r="AJ8" s="72"/>
      <c r="AK8" s="72"/>
      <c r="AL8" s="2"/>
      <c r="AM8" s="53"/>
      <c r="AN8" s="72"/>
      <c r="AO8" s="72"/>
      <c r="AP8" s="2"/>
      <c r="AQ8" s="53"/>
      <c r="AR8" s="53"/>
      <c r="AS8" s="53"/>
      <c r="AT8" s="53"/>
      <c r="AU8" s="72"/>
      <c r="AV8" s="72"/>
      <c r="AW8" s="2"/>
      <c r="AX8" s="53"/>
      <c r="AY8" s="72"/>
      <c r="AZ8" s="72"/>
      <c r="BA8" s="2"/>
      <c r="BB8" s="52"/>
      <c r="BC8" s="72"/>
      <c r="BD8" s="72"/>
      <c r="BE8" s="4"/>
      <c r="BF8" s="52"/>
      <c r="BG8" s="52"/>
      <c r="BH8" s="52"/>
      <c r="BI8" s="52"/>
      <c r="BJ8" s="72"/>
      <c r="BK8" s="3">
        <f t="shared" si="11"/>
        <v>34844</v>
      </c>
      <c r="BL8" s="3">
        <f t="shared" si="12"/>
        <v>30635</v>
      </c>
      <c r="BM8" s="3">
        <f t="shared" si="13"/>
        <v>43910</v>
      </c>
      <c r="BN8" s="13">
        <f>(BM8-BL8)/BL8</f>
        <v>0.43332789293291984</v>
      </c>
    </row>
    <row r="9" spans="2:69" s="51" customFormat="1">
      <c r="B9" s="248" t="s">
        <v>5</v>
      </c>
      <c r="C9" s="270">
        <v>729</v>
      </c>
      <c r="D9" s="257">
        <v>1090</v>
      </c>
      <c r="E9" s="46">
        <v>955</v>
      </c>
      <c r="F9" s="200">
        <f>(E9-D9)/D9</f>
        <v>-0.12385321100917432</v>
      </c>
      <c r="G9" s="268">
        <v>981</v>
      </c>
      <c r="H9" s="291">
        <v>1240</v>
      </c>
      <c r="I9" s="204">
        <v>745</v>
      </c>
      <c r="J9" s="200">
        <f t="shared" si="0"/>
        <v>-0.39919354838709675</v>
      </c>
      <c r="K9" s="268">
        <v>945</v>
      </c>
      <c r="L9" s="268">
        <v>1120</v>
      </c>
      <c r="M9" s="219">
        <v>916</v>
      </c>
      <c r="N9" s="230">
        <f t="shared" si="1"/>
        <v>2655</v>
      </c>
      <c r="O9" s="230">
        <f t="shared" si="2"/>
        <v>3450</v>
      </c>
      <c r="P9" s="230">
        <f t="shared" si="3"/>
        <v>2616</v>
      </c>
      <c r="Q9" s="224">
        <f t="shared" si="4"/>
        <v>-0.18214285714285713</v>
      </c>
      <c r="R9" s="53">
        <v>1439</v>
      </c>
      <c r="S9" s="53">
        <v>512</v>
      </c>
      <c r="T9" s="47">
        <v>1329</v>
      </c>
      <c r="U9" s="72">
        <f t="shared" si="5"/>
        <v>1.595703125</v>
      </c>
      <c r="V9" s="53">
        <v>1098</v>
      </c>
      <c r="W9" s="53">
        <v>762</v>
      </c>
      <c r="X9" s="47">
        <v>963</v>
      </c>
      <c r="Y9" s="72">
        <f t="shared" si="6"/>
        <v>0.26377952755905509</v>
      </c>
      <c r="Z9" s="53">
        <v>995</v>
      </c>
      <c r="AA9" s="53">
        <v>1541</v>
      </c>
      <c r="AB9" s="71">
        <v>1217</v>
      </c>
      <c r="AC9" s="71">
        <f t="shared" si="7"/>
        <v>3532</v>
      </c>
      <c r="AD9" s="71">
        <f t="shared" si="8"/>
        <v>2815</v>
      </c>
      <c r="AE9" s="71">
        <f t="shared" si="9"/>
        <v>3509</v>
      </c>
      <c r="AF9" s="72">
        <f t="shared" si="10"/>
        <v>-0.21025308241401688</v>
      </c>
      <c r="AG9" s="72"/>
      <c r="AH9" s="1"/>
      <c r="AI9" s="53"/>
      <c r="AJ9" s="72"/>
      <c r="AK9" s="72"/>
      <c r="AL9" s="2"/>
      <c r="AM9" s="53"/>
      <c r="AN9" s="72"/>
      <c r="AO9" s="195"/>
      <c r="AP9" s="53"/>
      <c r="AQ9" s="191"/>
      <c r="AR9" s="191"/>
      <c r="AS9" s="191"/>
      <c r="AT9" s="191"/>
      <c r="AU9" s="72"/>
      <c r="AV9" s="195"/>
      <c r="AW9" s="53"/>
      <c r="AX9" s="191"/>
      <c r="AY9" s="72"/>
      <c r="AZ9" s="195"/>
      <c r="BA9" s="53"/>
      <c r="BB9" s="236"/>
      <c r="BC9" s="72"/>
      <c r="BD9" s="72"/>
      <c r="BE9" s="4"/>
      <c r="BF9" s="52"/>
      <c r="BG9" s="52"/>
      <c r="BH9" s="52"/>
      <c r="BI9" s="52"/>
      <c r="BJ9" s="72"/>
      <c r="BK9" s="3">
        <f t="shared" si="11"/>
        <v>6187</v>
      </c>
      <c r="BL9" s="3">
        <f t="shared" si="12"/>
        <v>6265</v>
      </c>
      <c r="BM9" s="3">
        <f t="shared" si="13"/>
        <v>6125</v>
      </c>
      <c r="BN9" s="13">
        <f>(BM9-BL9)/BL9</f>
        <v>-2.23463687150838E-2</v>
      </c>
    </row>
    <row r="10" spans="2:69" s="57" customFormat="1">
      <c r="B10" s="249" t="s">
        <v>7</v>
      </c>
      <c r="C10" s="258">
        <f>SUM(C6:C9)</f>
        <v>106124</v>
      </c>
      <c r="D10" s="258">
        <f>SUM(D6:D9)</f>
        <v>117990</v>
      </c>
      <c r="E10" s="80">
        <f>SUM(E6:E9)</f>
        <v>109280</v>
      </c>
      <c r="F10" s="73">
        <f>(E10-D10)/D10</f>
        <v>-7.3819815238579542E-2</v>
      </c>
      <c r="G10" s="80">
        <f>SUM(G6:G9)</f>
        <v>110938</v>
      </c>
      <c r="H10" s="292">
        <f>SUM(H6:H9)</f>
        <v>122982</v>
      </c>
      <c r="I10" s="292">
        <f>SUM(I6:I9)</f>
        <v>125936</v>
      </c>
      <c r="J10" s="293">
        <f t="shared" si="0"/>
        <v>2.4019775251662843E-2</v>
      </c>
      <c r="K10" s="80">
        <f>SUM(K6:K9)</f>
        <v>145410</v>
      </c>
      <c r="L10" s="80">
        <f>SUM(L6:L9)</f>
        <v>173816</v>
      </c>
      <c r="M10" s="80">
        <f>SUM(M6:M9)</f>
        <v>155583</v>
      </c>
      <c r="N10" s="228">
        <f>SUM(N6:N9)</f>
        <v>362472</v>
      </c>
      <c r="O10" s="228">
        <f t="shared" ref="O10:P10" si="14">SUM(O6:O9)</f>
        <v>414788</v>
      </c>
      <c r="P10" s="228">
        <f t="shared" si="14"/>
        <v>390799</v>
      </c>
      <c r="Q10" s="299">
        <f t="shared" si="4"/>
        <v>-0.10489828324204907</v>
      </c>
      <c r="R10" s="80">
        <f>SUM(R6:R9)</f>
        <v>168348</v>
      </c>
      <c r="S10" s="80">
        <f>SUM(S6:S9)</f>
        <v>64286</v>
      </c>
      <c r="T10" s="80">
        <f>SUM(T6:T9)</f>
        <v>193772</v>
      </c>
      <c r="U10" s="73">
        <f t="shared" si="5"/>
        <v>2.014217714587935</v>
      </c>
      <c r="V10" s="331">
        <f>SUM(V6:V9)</f>
        <v>129505</v>
      </c>
      <c r="W10" s="80">
        <f>SUM(W6:W9)</f>
        <v>71543</v>
      </c>
      <c r="X10" s="80">
        <f>SUM(X6:X9)</f>
        <v>143892</v>
      </c>
      <c r="Y10" s="73">
        <f t="shared" si="6"/>
        <v>1.011265951944984</v>
      </c>
      <c r="Z10" s="331">
        <f t="shared" ref="Z10:AE10" si="15">SUM(Z6:Z9)</f>
        <v>144437</v>
      </c>
      <c r="AA10" s="80">
        <f t="shared" si="15"/>
        <v>121367</v>
      </c>
      <c r="AB10" s="80">
        <f t="shared" si="15"/>
        <v>167534</v>
      </c>
      <c r="AC10" s="88">
        <f t="shared" si="15"/>
        <v>442290</v>
      </c>
      <c r="AD10" s="88">
        <f t="shared" si="15"/>
        <v>257196</v>
      </c>
      <c r="AE10" s="88">
        <f t="shared" si="15"/>
        <v>505198</v>
      </c>
      <c r="AF10" s="73">
        <f t="shared" si="10"/>
        <v>0.38039170449957566</v>
      </c>
      <c r="AG10" s="73"/>
      <c r="AH10" s="3"/>
      <c r="AI10" s="3"/>
      <c r="AJ10" s="73"/>
      <c r="AK10" s="73"/>
      <c r="AL10" s="3"/>
      <c r="AM10" s="3"/>
      <c r="AN10" s="73"/>
      <c r="AO10" s="73"/>
      <c r="AP10" s="227"/>
      <c r="AQ10" s="3"/>
      <c r="AR10" s="145"/>
      <c r="AS10" s="145"/>
      <c r="AT10" s="145"/>
      <c r="AU10" s="73"/>
      <c r="AV10" s="73"/>
      <c r="AW10" s="227"/>
      <c r="AX10" s="3"/>
      <c r="AY10" s="73"/>
      <c r="AZ10" s="73"/>
      <c r="BA10" s="227"/>
      <c r="BB10" s="3"/>
      <c r="BC10" s="73"/>
      <c r="BD10" s="73"/>
      <c r="BE10" s="3"/>
      <c r="BF10" s="3"/>
      <c r="BG10" s="145"/>
      <c r="BH10" s="145"/>
      <c r="BI10" s="145"/>
      <c r="BJ10" s="73"/>
      <c r="BK10" s="3">
        <f t="shared" si="11"/>
        <v>804762</v>
      </c>
      <c r="BL10" s="3">
        <f>SUM(D10,H10,L10,S10,W10,AA10,AH10,AL10,AP10,AW10,BA10,BE10)</f>
        <v>671984</v>
      </c>
      <c r="BM10" s="3">
        <f>SUM(E10,I10,M10,T10,X10,AB10,AI10,AM10,AQ10,AX10,BB10,BF10)</f>
        <v>895997</v>
      </c>
      <c r="BN10" s="14">
        <f>(BM10-BL10)/BL10</f>
        <v>0.33336061572894593</v>
      </c>
      <c r="BP10" s="51"/>
      <c r="BQ10" s="62"/>
    </row>
    <row r="11" spans="2:69">
      <c r="D11" s="23"/>
      <c r="E11" s="23"/>
      <c r="F11" s="23"/>
      <c r="G11" s="142"/>
      <c r="H11" s="23"/>
      <c r="I11" s="23"/>
      <c r="AJ11" s="23"/>
      <c r="AK11" s="142"/>
      <c r="AL11" s="23"/>
      <c r="AM11" s="23"/>
      <c r="AN11" s="23"/>
      <c r="AO11" s="142"/>
      <c r="AP11" s="23"/>
      <c r="AQ11" s="23"/>
      <c r="AR11" s="142"/>
      <c r="AS11" s="142"/>
      <c r="AT11" s="142"/>
      <c r="AU11" s="23"/>
      <c r="AV11" s="142"/>
      <c r="AW11" s="23"/>
      <c r="AX11" s="23"/>
      <c r="AY11" s="23"/>
      <c r="AZ11" s="142"/>
      <c r="BA11" s="23"/>
      <c r="BB11" s="23"/>
      <c r="BC11" s="23"/>
      <c r="BD11" s="142"/>
    </row>
    <row r="12" spans="2:69">
      <c r="B12" s="21" t="s">
        <v>33</v>
      </c>
      <c r="D12" s="119" t="s">
        <v>116</v>
      </c>
      <c r="E12" s="23"/>
      <c r="F12" s="23"/>
      <c r="G12" s="142"/>
      <c r="H12" s="23"/>
      <c r="I12" s="23"/>
      <c r="BL12" s="142"/>
    </row>
    <row r="13" spans="2:69">
      <c r="AY13" s="51"/>
      <c r="BA13" s="51"/>
      <c r="BB13" s="51"/>
      <c r="BC13" s="51"/>
      <c r="BE13" s="51"/>
      <c r="BF13" s="51"/>
      <c r="BJ13" s="51"/>
      <c r="BL13" s="51"/>
      <c r="BM13" s="142"/>
    </row>
    <row r="14" spans="2:69">
      <c r="B14" s="51" t="s">
        <v>86</v>
      </c>
      <c r="AW14" s="51"/>
      <c r="AX14" s="51"/>
      <c r="AY14" s="51"/>
      <c r="BA14" s="51"/>
      <c r="BB14" s="51"/>
      <c r="BC14" s="51"/>
      <c r="BE14" s="51"/>
      <c r="BF14" s="51"/>
      <c r="BJ14" s="51"/>
      <c r="BL14" s="51"/>
      <c r="BM14" s="51"/>
    </row>
    <row r="15" spans="2:69">
      <c r="H15" s="51"/>
      <c r="I15" s="51"/>
      <c r="J15" s="51"/>
      <c r="AW15" s="51"/>
      <c r="AX15" s="51"/>
      <c r="AY15" s="51"/>
      <c r="BA15" s="51"/>
      <c r="BB15" s="51"/>
      <c r="BC15" s="51"/>
      <c r="BE15" s="51"/>
      <c r="BF15" s="51"/>
      <c r="BJ15" s="51"/>
      <c r="BL15" s="51"/>
      <c r="BM15" s="51"/>
    </row>
    <row r="16" spans="2:69">
      <c r="B16" s="142"/>
      <c r="C16" s="142"/>
      <c r="D16" s="142"/>
      <c r="E16" s="142"/>
      <c r="F16" s="142"/>
      <c r="G16" s="142"/>
      <c r="H16" s="142"/>
      <c r="I16" s="142"/>
      <c r="J16" s="51"/>
      <c r="L16" s="142"/>
      <c r="M16" s="142"/>
      <c r="N16" s="142"/>
      <c r="O16" s="142"/>
      <c r="P16" s="142"/>
      <c r="S16" s="64"/>
      <c r="T16" s="64"/>
      <c r="W16" s="64"/>
      <c r="X16" s="64"/>
      <c r="AA16" s="64"/>
      <c r="AB16" s="64"/>
      <c r="AC16" s="142"/>
      <c r="AD16" s="142"/>
      <c r="AE16" s="142"/>
      <c r="AH16" s="64"/>
      <c r="AI16" s="64"/>
      <c r="AW16" s="51"/>
      <c r="AX16" s="51"/>
      <c r="AY16" s="51"/>
      <c r="BA16" s="51"/>
      <c r="BB16" s="51"/>
      <c r="BC16" s="51"/>
      <c r="BE16" s="51"/>
      <c r="BF16" s="51"/>
      <c r="BJ16" s="51"/>
      <c r="BL16" s="51"/>
      <c r="BM16" s="51"/>
    </row>
    <row r="17" spans="2:65">
      <c r="B17" s="142"/>
      <c r="C17" s="142"/>
      <c r="D17" s="142"/>
      <c r="E17" s="142"/>
      <c r="F17" s="142"/>
      <c r="G17" s="142"/>
      <c r="H17" s="142"/>
      <c r="I17" s="51"/>
      <c r="J17" s="51"/>
      <c r="L17" s="51"/>
      <c r="M17" s="51"/>
      <c r="AW17" s="51"/>
      <c r="AX17" s="51"/>
      <c r="AY17" s="51"/>
      <c r="BA17" s="51"/>
      <c r="BB17" s="51"/>
      <c r="BC17" s="51"/>
      <c r="BE17" s="51"/>
      <c r="BF17" s="51"/>
      <c r="BJ17" s="51"/>
      <c r="BL17" s="51"/>
      <c r="BM17" s="51"/>
    </row>
    <row r="18" spans="2:65">
      <c r="B18" s="142"/>
      <c r="C18" s="142"/>
      <c r="D18" s="142"/>
      <c r="E18" s="142"/>
      <c r="F18" s="142"/>
      <c r="G18" s="142"/>
      <c r="H18" s="142"/>
      <c r="I18" s="51"/>
      <c r="J18" s="51"/>
      <c r="L18" s="51"/>
      <c r="M18" s="51"/>
      <c r="N18" s="142"/>
      <c r="AW18" s="51"/>
      <c r="AX18" s="51"/>
      <c r="AY18" s="51"/>
      <c r="BA18" s="51"/>
      <c r="BB18" s="51"/>
      <c r="BC18" s="51"/>
      <c r="BE18" s="51"/>
      <c r="BF18" s="51"/>
      <c r="BJ18" s="51"/>
      <c r="BL18" s="51"/>
      <c r="BM18" s="51"/>
    </row>
    <row r="19" spans="2:65">
      <c r="B19" s="142"/>
      <c r="C19" s="142"/>
      <c r="D19" s="142"/>
      <c r="E19" s="142"/>
      <c r="F19" s="142"/>
      <c r="G19" s="142"/>
      <c r="H19" s="142"/>
      <c r="I19" s="51"/>
      <c r="J19" s="51"/>
      <c r="L19" s="51"/>
      <c r="M19" s="142"/>
      <c r="X19" s="316"/>
      <c r="AW19" s="51"/>
      <c r="AX19" s="51"/>
      <c r="AY19" s="51"/>
      <c r="BA19" s="51"/>
      <c r="BB19" s="51"/>
      <c r="BC19" s="51"/>
      <c r="BE19" s="51"/>
      <c r="BF19" s="51"/>
      <c r="BJ19" s="51"/>
      <c r="BL19" s="51"/>
      <c r="BM19" s="51"/>
    </row>
    <row r="20" spans="2:65">
      <c r="B20" s="142"/>
      <c r="C20" s="142"/>
      <c r="D20" s="142"/>
      <c r="E20" s="142"/>
      <c r="F20" s="142"/>
      <c r="G20" s="142"/>
      <c r="H20" s="142"/>
      <c r="I20" s="142"/>
      <c r="J20" s="51"/>
      <c r="L20" s="51"/>
      <c r="M20" s="51"/>
      <c r="AW20" s="51"/>
      <c r="AX20" s="51"/>
      <c r="AY20" s="51"/>
      <c r="BA20" s="51"/>
      <c r="BB20" s="51"/>
      <c r="BC20" s="51"/>
      <c r="BE20" s="51"/>
      <c r="BF20" s="51"/>
      <c r="BJ20" s="51"/>
      <c r="BL20" s="51"/>
      <c r="BM20" s="51"/>
    </row>
    <row r="21" spans="2:65">
      <c r="B21" s="142"/>
      <c r="C21" s="142"/>
      <c r="D21" s="142"/>
      <c r="E21" s="142"/>
      <c r="F21"/>
      <c r="G21" s="142"/>
      <c r="H21" s="142"/>
      <c r="I21" s="51"/>
      <c r="J21" s="51"/>
      <c r="L21" s="51"/>
      <c r="M21" s="51"/>
      <c r="AW21" s="51"/>
      <c r="AX21" s="51"/>
      <c r="AY21" s="51"/>
      <c r="BA21" s="51"/>
      <c r="BB21" s="51"/>
      <c r="BC21" s="51"/>
      <c r="BE21" s="51"/>
      <c r="BF21" s="51"/>
      <c r="BJ21" s="51"/>
      <c r="BL21" s="51"/>
      <c r="BM21" s="51"/>
    </row>
    <row r="22" spans="2:65">
      <c r="B22" s="142"/>
      <c r="C22" s="142"/>
      <c r="D22" s="142"/>
      <c r="E22" s="142"/>
      <c r="F22" s="142"/>
      <c r="G22" s="142"/>
      <c r="H22" s="142"/>
      <c r="I22" s="51"/>
      <c r="J22" s="51"/>
      <c r="L22" s="51"/>
      <c r="M22" s="142"/>
      <c r="N22" s="142"/>
      <c r="AW22" s="51"/>
      <c r="AX22" s="51"/>
      <c r="AY22" s="51"/>
      <c r="BA22" s="51"/>
      <c r="BB22" s="51"/>
      <c r="BC22" s="51"/>
      <c r="BE22" s="51"/>
      <c r="BF22" s="51"/>
      <c r="BJ22" s="51"/>
      <c r="BL22" s="51"/>
      <c r="BM22" s="51"/>
    </row>
    <row r="23" spans="2:65">
      <c r="B23" s="142"/>
      <c r="C23" s="142"/>
      <c r="D23" s="142"/>
      <c r="E23" s="142"/>
      <c r="F23" s="142"/>
      <c r="G23" s="142"/>
      <c r="H23" s="142"/>
      <c r="I23" s="51"/>
      <c r="J23" s="51"/>
      <c r="L23" s="51"/>
      <c r="M23" s="51"/>
      <c r="AW23" s="51"/>
      <c r="AX23" s="51"/>
      <c r="AY23" s="51"/>
      <c r="BA23" s="51"/>
      <c r="BB23" s="51"/>
      <c r="BC23" s="51"/>
      <c r="BE23" s="51"/>
      <c r="BF23" s="51"/>
      <c r="BJ23" s="51"/>
      <c r="BL23" s="51"/>
      <c r="BM23" s="51"/>
    </row>
    <row r="24" spans="2:65">
      <c r="B24" s="142"/>
      <c r="C24" s="142"/>
      <c r="D24" s="142"/>
      <c r="E24" s="142"/>
      <c r="F24" s="142"/>
      <c r="G24" s="142"/>
      <c r="H24" s="142"/>
      <c r="I24" s="51"/>
      <c r="J24" s="51"/>
      <c r="L24" s="51"/>
      <c r="M24" s="51"/>
    </row>
    <row r="30" spans="2:65">
      <c r="I30"/>
    </row>
  </sheetData>
  <mergeCells count="18">
    <mergeCell ref="C4:E4"/>
    <mergeCell ref="G4:I4"/>
    <mergeCell ref="K4:M4"/>
    <mergeCell ref="N4:P4"/>
    <mergeCell ref="R4:T4"/>
    <mergeCell ref="BD4:BF4"/>
    <mergeCell ref="BG4:BI4"/>
    <mergeCell ref="V4:X4"/>
    <mergeCell ref="BN4:BN5"/>
    <mergeCell ref="Z4:AB4"/>
    <mergeCell ref="AC4:AE4"/>
    <mergeCell ref="AG4:AI4"/>
    <mergeCell ref="AK4:AM4"/>
    <mergeCell ref="AO4:AQ4"/>
    <mergeCell ref="AR4:AT4"/>
    <mergeCell ref="AV4:AX4"/>
    <mergeCell ref="AZ4:BB4"/>
    <mergeCell ref="BK4:BM4"/>
  </mergeCells>
  <hyperlinks>
    <hyperlink ref="D12" r:id="rId1" xr:uid="{62182973-B066-448D-9226-157BEB6EBB52}"/>
  </hyperlinks>
  <pageMargins left="0.7" right="0.7" top="0.78740157499999996" bottom="0.78740157499999996" header="0.3" footer="0.3"/>
  <pageSetup paperSize="9" orientation="portrait" r:id="rId2"/>
  <ignoredErrors>
    <ignoredError sqref="C10:E10 G10:I10 K10:M10 S10:T10 R10 V10:X10 Z10:AB10" formulaRange="1"/>
    <ignoredError sqref="F10 J10 Q10 U10 Y1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3703-C4EE-49A2-BA93-2C6C26646F5C}">
  <dimension ref="A1:BQ21"/>
  <sheetViews>
    <sheetView topLeftCell="B1" zoomScaleNormal="100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9.5703125" style="21" customWidth="1"/>
    <col min="5" max="5" width="10.42578125" style="21" customWidth="1"/>
    <col min="6" max="6" width="11.5703125" style="21" customWidth="1"/>
    <col min="7" max="7" width="9.28515625" style="51" customWidth="1"/>
    <col min="8" max="8" width="9.85546875" style="21" customWidth="1"/>
    <col min="9" max="9" width="9.5703125" style="21" customWidth="1"/>
    <col min="10" max="10" width="10.85546875" style="21" customWidth="1"/>
    <col min="11" max="11" width="10.42578125" style="51" customWidth="1"/>
    <col min="12" max="12" width="8.5703125" style="21" customWidth="1"/>
    <col min="13" max="13" width="9.28515625" style="21" customWidth="1"/>
    <col min="14" max="14" width="8.5703125" style="51" customWidth="1"/>
    <col min="15" max="15" width="9.28515625" style="51" customWidth="1"/>
    <col min="16" max="16" width="9.42578125" style="51" customWidth="1"/>
    <col min="17" max="17" width="10" style="21" customWidth="1"/>
    <col min="18" max="18" width="10" style="51" customWidth="1"/>
    <col min="19" max="19" width="9.5703125" style="21" customWidth="1"/>
    <col min="20" max="20" width="9.85546875" style="21" customWidth="1"/>
    <col min="21" max="21" width="11.140625" style="21" customWidth="1"/>
    <col min="22" max="22" width="10.5703125" style="51" customWidth="1"/>
    <col min="23" max="23" width="9.85546875" style="21" customWidth="1"/>
    <col min="24" max="24" width="11.140625" style="21" customWidth="1"/>
    <col min="25" max="25" width="9.85546875" style="21" bestFit="1" customWidth="1"/>
    <col min="26" max="26" width="9" style="51" customWidth="1"/>
    <col min="27" max="27" width="10.28515625" style="21" customWidth="1"/>
    <col min="28" max="28" width="10.7109375" style="21" customWidth="1"/>
    <col min="29" max="31" width="10.710937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19</v>
      </c>
      <c r="C1" s="57"/>
    </row>
    <row r="2" spans="2:69"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271">
        <v>29616</v>
      </c>
      <c r="D6" s="254">
        <v>29073</v>
      </c>
      <c r="E6" s="5">
        <v>23853</v>
      </c>
      <c r="F6" s="198">
        <f>(E6-D6)/D6</f>
        <v>-0.17954803425859045</v>
      </c>
      <c r="G6" s="277">
        <v>27567</v>
      </c>
      <c r="H6" s="285">
        <v>29622</v>
      </c>
      <c r="I6" s="286">
        <v>24270</v>
      </c>
      <c r="J6" s="198">
        <f>(I6-H6)/H6</f>
        <v>-0.18067652420498279</v>
      </c>
      <c r="K6" s="277">
        <v>30339</v>
      </c>
      <c r="L6" s="203">
        <v>22143</v>
      </c>
      <c r="M6" s="212">
        <v>26599</v>
      </c>
      <c r="N6" s="229">
        <f>SUM(C6,G6,K6)</f>
        <v>87522</v>
      </c>
      <c r="O6" s="229">
        <f>SUM(D6,H6,L6)</f>
        <v>80838</v>
      </c>
      <c r="P6" s="229">
        <f>SUM(E6,I6,M6)</f>
        <v>74722</v>
      </c>
      <c r="Q6" s="222">
        <f>(M6-L6)/L6</f>
        <v>0.20123741137153953</v>
      </c>
      <c r="R6" s="53">
        <v>24982</v>
      </c>
      <c r="S6" s="31">
        <v>105</v>
      </c>
      <c r="T6" s="31">
        <v>22753</v>
      </c>
      <c r="U6" s="337">
        <f>(T6-S6)/S6</f>
        <v>215.6952380952381</v>
      </c>
      <c r="V6" s="53">
        <v>26102</v>
      </c>
      <c r="W6" s="53">
        <v>8966</v>
      </c>
      <c r="X6" s="31">
        <v>24081</v>
      </c>
      <c r="Y6" s="49">
        <f>(X6-W6)/W6</f>
        <v>1.6858130716038366</v>
      </c>
      <c r="Z6" s="53">
        <v>28931</v>
      </c>
      <c r="AA6" s="31">
        <v>19134</v>
      </c>
      <c r="AB6" s="31">
        <v>24482</v>
      </c>
      <c r="AC6" s="53">
        <f>SUM(R6,V6,Z6)</f>
        <v>80015</v>
      </c>
      <c r="AD6" s="53">
        <f>SUM(S6,W6,AA6)</f>
        <v>28205</v>
      </c>
      <c r="AE6" s="53">
        <f>SUM(T6,X6,AB6)</f>
        <v>71316</v>
      </c>
      <c r="AF6" s="49">
        <f>(AB6-AA6)/AA6</f>
        <v>0.27950245636040555</v>
      </c>
      <c r="AG6" s="49"/>
      <c r="AH6" s="53"/>
      <c r="AI6" s="53"/>
      <c r="AJ6" s="49"/>
      <c r="AK6" s="49"/>
      <c r="AL6" s="125"/>
      <c r="AM6" s="124"/>
      <c r="AN6" s="49"/>
      <c r="AO6" s="49"/>
      <c r="AP6" s="2"/>
      <c r="AQ6" s="53"/>
      <c r="AR6" s="53"/>
      <c r="AS6" s="53"/>
      <c r="AT6" s="142"/>
      <c r="AU6" s="49"/>
      <c r="AV6" s="49"/>
      <c r="AW6" s="31"/>
      <c r="AX6" s="53"/>
      <c r="AY6" s="49"/>
      <c r="AZ6" s="49"/>
      <c r="BA6" s="53"/>
      <c r="BB6" s="53"/>
      <c r="BC6" s="49"/>
      <c r="BD6" s="49"/>
      <c r="BE6" s="35"/>
      <c r="BF6" s="53"/>
      <c r="BG6" s="53"/>
      <c r="BH6" s="53"/>
      <c r="BI6" s="53"/>
      <c r="BJ6" s="49"/>
      <c r="BK6" s="88">
        <f>SUM(C6,G6,K6,R6,V6,Z6,AG6,AK6,AO6,AV6,AZ6,BD6)</f>
        <v>167537</v>
      </c>
      <c r="BL6" s="88">
        <f>SUM(D6,H6,L6,S6,W6,AA6,AH6,AL6,AP6,AW6,BA6,BE6)</f>
        <v>109043</v>
      </c>
      <c r="BM6" s="88">
        <f>SUM(E6,I6,M6,T6,X6,AB6,AI6,AM6,AQ6,AX6,BB6,BF6)</f>
        <v>146038</v>
      </c>
      <c r="BN6" s="32">
        <f>(BM6-BL6)/BL6</f>
        <v>0.33926982933338223</v>
      </c>
    </row>
    <row r="7" spans="2:69">
      <c r="B7" s="248" t="s">
        <v>3</v>
      </c>
      <c r="C7" s="272">
        <v>11702</v>
      </c>
      <c r="D7" s="190">
        <v>9780</v>
      </c>
      <c r="E7" s="6">
        <v>9301</v>
      </c>
      <c r="F7" s="198">
        <f>(E7-D7)/D7</f>
        <v>-4.8977505112474437E-2</v>
      </c>
      <c r="G7" s="277">
        <v>14123</v>
      </c>
      <c r="H7" s="285">
        <v>11616</v>
      </c>
      <c r="I7" s="287">
        <v>11246</v>
      </c>
      <c r="J7" s="198">
        <f t="shared" ref="J7:J10" si="0">(I7-H7)/H7</f>
        <v>-3.185261707988981E-2</v>
      </c>
      <c r="K7" s="277">
        <v>15002</v>
      </c>
      <c r="L7" s="203">
        <v>9434</v>
      </c>
      <c r="M7" s="213">
        <v>14364</v>
      </c>
      <c r="N7" s="229">
        <f t="shared" ref="N7:N9" si="1">SUM(C7,G7,K7)</f>
        <v>40827</v>
      </c>
      <c r="O7" s="229">
        <f t="shared" ref="O7:O9" si="2">SUM(D7,H7,L7)</f>
        <v>30830</v>
      </c>
      <c r="P7" s="229">
        <f t="shared" ref="P7:P9" si="3">SUM(E7,I7,M7)</f>
        <v>34911</v>
      </c>
      <c r="Q7" s="222">
        <f t="shared" ref="Q7:Q10" si="4">(M7-L7)/L7</f>
        <v>0.52257790968836126</v>
      </c>
      <c r="R7" s="53">
        <v>9812</v>
      </c>
      <c r="S7" s="53">
        <v>318</v>
      </c>
      <c r="T7" s="142">
        <v>10849</v>
      </c>
      <c r="U7" s="337">
        <f t="shared" ref="U7:U9" si="5">(T7-S7)/S7</f>
        <v>33.116352201257861</v>
      </c>
      <c r="V7" s="53">
        <v>12201</v>
      </c>
      <c r="W7" s="53">
        <v>3071</v>
      </c>
      <c r="X7" s="31">
        <v>11912</v>
      </c>
      <c r="Y7" s="49">
        <f t="shared" ref="Y7:Y10" si="6">(X7-W7)/W7</f>
        <v>2.8788668186258546</v>
      </c>
      <c r="Z7" s="53">
        <v>14497</v>
      </c>
      <c r="AA7" s="53">
        <v>10222</v>
      </c>
      <c r="AB7" s="31">
        <v>11208</v>
      </c>
      <c r="AC7" s="53">
        <f t="shared" ref="AC7:AC10" si="7">SUM(R7,V7,Z7)</f>
        <v>36510</v>
      </c>
      <c r="AD7" s="53">
        <f t="shared" ref="AD7:AD10" si="8">SUM(S7,W7,AA7)</f>
        <v>13611</v>
      </c>
      <c r="AE7" s="53">
        <f t="shared" ref="AE7:AE10" si="9">SUM(T7,X7,AB7)</f>
        <v>33969</v>
      </c>
      <c r="AF7" s="49">
        <f t="shared" ref="AF7:AF10" si="10">(AB7-AA7)/AA7</f>
        <v>9.6458618665623164E-2</v>
      </c>
      <c r="AG7" s="49"/>
      <c r="AH7" s="53"/>
      <c r="AI7" s="53"/>
      <c r="AJ7" s="49"/>
      <c r="AK7" s="49"/>
      <c r="AL7" s="124"/>
      <c r="AM7" s="124"/>
      <c r="AN7" s="49"/>
      <c r="AO7" s="49"/>
      <c r="AP7" s="31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88">
        <f t="shared" ref="BK7:BK10" si="11">SUM(C7,G7,K7,R7,V7,Z7,AG7,AK7,AO7,AV7,AZ7,BD7)</f>
        <v>77337</v>
      </c>
      <c r="BL7" s="88">
        <f>SUM(D7,H7,L7,S7,W7,AB7,AH7,AL7,AP7,AW7,BA7,BE7)</f>
        <v>45427</v>
      </c>
      <c r="BM7" s="88">
        <f>SUM(E7,I7,M7,T7,X7,AB7,AI7,AM7,AQ7,AX7,BB7,BF7)</f>
        <v>68880</v>
      </c>
      <c r="BN7" s="32">
        <f>(BM7-BL7)/BL7</f>
        <v>0.51627886499218523</v>
      </c>
    </row>
    <row r="8" spans="2:69">
      <c r="B8" s="248" t="s">
        <v>4</v>
      </c>
      <c r="C8" s="272">
        <v>1583</v>
      </c>
      <c r="D8" s="190">
        <v>1530</v>
      </c>
      <c r="E8" s="6">
        <v>1551</v>
      </c>
      <c r="F8" s="198">
        <f>(E8-D8)/D8</f>
        <v>1.3725490196078431E-2</v>
      </c>
      <c r="G8" s="277">
        <v>2044</v>
      </c>
      <c r="H8" s="285">
        <v>1993</v>
      </c>
      <c r="I8" s="287">
        <v>1898</v>
      </c>
      <c r="J8" s="198">
        <f t="shared" si="0"/>
        <v>-4.7666833918715505E-2</v>
      </c>
      <c r="K8" s="277">
        <v>2274</v>
      </c>
      <c r="L8" s="203">
        <v>1888</v>
      </c>
      <c r="M8" s="213">
        <v>1197</v>
      </c>
      <c r="N8" s="229">
        <f t="shared" si="1"/>
        <v>5901</v>
      </c>
      <c r="O8" s="229">
        <f t="shared" si="2"/>
        <v>5411</v>
      </c>
      <c r="P8" s="229">
        <f t="shared" si="3"/>
        <v>4646</v>
      </c>
      <c r="Q8" s="222">
        <f t="shared" si="4"/>
        <v>-0.3659957627118644</v>
      </c>
      <c r="R8" s="53">
        <v>1931</v>
      </c>
      <c r="S8" s="31">
        <v>72</v>
      </c>
      <c r="T8" s="31">
        <v>875</v>
      </c>
      <c r="U8" s="337">
        <f t="shared" si="5"/>
        <v>11.152777777777779</v>
      </c>
      <c r="V8" s="53">
        <v>2066</v>
      </c>
      <c r="W8" s="53">
        <v>389</v>
      </c>
      <c r="X8" s="31">
        <v>1027</v>
      </c>
      <c r="Y8" s="49">
        <f t="shared" si="6"/>
        <v>1.6401028277634961</v>
      </c>
      <c r="Z8" s="53">
        <v>2451</v>
      </c>
      <c r="AA8" s="31">
        <v>992</v>
      </c>
      <c r="AB8" s="31">
        <v>1165</v>
      </c>
      <c r="AC8" s="53">
        <f t="shared" si="7"/>
        <v>6448</v>
      </c>
      <c r="AD8" s="53">
        <f t="shared" si="8"/>
        <v>1453</v>
      </c>
      <c r="AE8" s="53">
        <f t="shared" si="9"/>
        <v>3067</v>
      </c>
      <c r="AF8" s="49">
        <f t="shared" si="10"/>
        <v>0.17439516129032259</v>
      </c>
      <c r="AG8" s="49"/>
      <c r="AH8" s="53"/>
      <c r="AI8" s="53"/>
      <c r="AJ8" s="49"/>
      <c r="AK8" s="49"/>
      <c r="AL8" s="53"/>
      <c r="AM8" s="53"/>
      <c r="AN8" s="49"/>
      <c r="AO8" s="49"/>
      <c r="AP8" s="31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31"/>
      <c r="BB8" s="53"/>
      <c r="BC8" s="49"/>
      <c r="BD8" s="49"/>
      <c r="BE8" s="35"/>
      <c r="BF8" s="10"/>
      <c r="BG8" s="52"/>
      <c r="BH8" s="52"/>
      <c r="BI8" s="52"/>
      <c r="BJ8" s="49"/>
      <c r="BK8" s="88">
        <f t="shared" si="11"/>
        <v>12349</v>
      </c>
      <c r="BL8" s="88">
        <f t="shared" ref="BL8:BL9" si="12">SUM(D8,H8,L8,S8,W8,AA8,AH8,AL8,AP8,AW8,BA8,BE8)</f>
        <v>6864</v>
      </c>
      <c r="BM8" s="88">
        <f t="shared" ref="BM8:BM9" si="13">SUM(E8,I8,M8,T8,X8,AB8,AI8,AM8,AQ8,AX8,BB8,BF8)</f>
        <v>7713</v>
      </c>
      <c r="BN8" s="32">
        <f>(BM8-BL8)/BL8</f>
        <v>0.12368881118881118</v>
      </c>
    </row>
    <row r="9" spans="2:69">
      <c r="B9" s="248" t="s">
        <v>5</v>
      </c>
      <c r="C9" s="272">
        <v>55</v>
      </c>
      <c r="D9" s="190">
        <v>30</v>
      </c>
      <c r="E9" s="6">
        <v>79</v>
      </c>
      <c r="F9" s="198">
        <f>(E9-D9)/D9</f>
        <v>1.6333333333333333</v>
      </c>
      <c r="G9" s="277">
        <v>71</v>
      </c>
      <c r="H9" s="284">
        <v>65</v>
      </c>
      <c r="I9" s="288">
        <v>48</v>
      </c>
      <c r="J9" s="198">
        <f t="shared" si="0"/>
        <v>-0.26153846153846155</v>
      </c>
      <c r="K9" s="277">
        <v>80</v>
      </c>
      <c r="L9" s="203">
        <v>81</v>
      </c>
      <c r="M9" s="213">
        <v>40</v>
      </c>
      <c r="N9" s="229">
        <f t="shared" si="1"/>
        <v>206</v>
      </c>
      <c r="O9" s="229">
        <f t="shared" si="2"/>
        <v>176</v>
      </c>
      <c r="P9" s="229">
        <f t="shared" si="3"/>
        <v>167</v>
      </c>
      <c r="Q9" s="222">
        <f t="shared" si="4"/>
        <v>-0.50617283950617287</v>
      </c>
      <c r="R9" s="53">
        <v>62</v>
      </c>
      <c r="S9" s="31">
        <v>32</v>
      </c>
      <c r="T9" s="31">
        <v>34</v>
      </c>
      <c r="U9" s="337">
        <f t="shared" si="5"/>
        <v>6.25E-2</v>
      </c>
      <c r="V9" s="53">
        <v>59</v>
      </c>
      <c r="W9" s="53">
        <v>34</v>
      </c>
      <c r="X9" s="31">
        <v>53</v>
      </c>
      <c r="Y9" s="49">
        <f t="shared" si="6"/>
        <v>0.55882352941176472</v>
      </c>
      <c r="Z9" s="52">
        <v>74</v>
      </c>
      <c r="AA9" s="10">
        <v>68</v>
      </c>
      <c r="AB9" s="10">
        <v>59</v>
      </c>
      <c r="AC9" s="53">
        <f t="shared" si="7"/>
        <v>195</v>
      </c>
      <c r="AD9" s="53">
        <f t="shared" si="8"/>
        <v>134</v>
      </c>
      <c r="AE9" s="53">
        <f t="shared" si="9"/>
        <v>146</v>
      </c>
      <c r="AF9" s="49">
        <f t="shared" si="10"/>
        <v>-0.13235294117647059</v>
      </c>
      <c r="AG9" s="49"/>
      <c r="AH9" s="53"/>
      <c r="AI9" s="53"/>
      <c r="AJ9" s="49"/>
      <c r="AK9" s="49"/>
      <c r="AL9" s="53"/>
      <c r="AM9" s="53"/>
      <c r="AN9" s="49"/>
      <c r="AO9" s="193"/>
      <c r="AP9" s="53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53"/>
      <c r="BB9" s="236"/>
      <c r="BC9" s="49"/>
      <c r="BD9" s="49"/>
      <c r="BE9" s="35"/>
      <c r="BF9" s="10"/>
      <c r="BG9" s="52"/>
      <c r="BH9" s="52"/>
      <c r="BI9" s="52"/>
      <c r="BJ9" s="49"/>
      <c r="BK9" s="88">
        <f t="shared" si="11"/>
        <v>401</v>
      </c>
      <c r="BL9" s="88">
        <f t="shared" si="12"/>
        <v>310</v>
      </c>
      <c r="BM9" s="88">
        <f t="shared" si="13"/>
        <v>313</v>
      </c>
      <c r="BN9" s="32">
        <f>(BM9-BL9)/BL9</f>
        <v>9.6774193548387101E-3</v>
      </c>
    </row>
    <row r="10" spans="2:69" s="9" customFormat="1">
      <c r="B10" s="249" t="s">
        <v>7</v>
      </c>
      <c r="C10" s="192">
        <f>SUM(C6:C9)</f>
        <v>42956</v>
      </c>
      <c r="D10" s="192">
        <f>SUM(D6:D9)</f>
        <v>40413</v>
      </c>
      <c r="E10" s="15">
        <f>SUM(E6:E9)</f>
        <v>34784</v>
      </c>
      <c r="F10" s="50">
        <f>(E10-D10)/D10</f>
        <v>-0.13928686313809913</v>
      </c>
      <c r="G10" s="289">
        <f>SUM(G6:G9)</f>
        <v>43805</v>
      </c>
      <c r="H10" s="289">
        <f>SUM(H6:H9)</f>
        <v>43296</v>
      </c>
      <c r="I10" s="289">
        <f>SUM(I6:I9)</f>
        <v>37462</v>
      </c>
      <c r="J10" s="198">
        <f t="shared" si="0"/>
        <v>-0.13474685883222468</v>
      </c>
      <c r="K10" s="145">
        <f>SUM(K6:K9)</f>
        <v>47695</v>
      </c>
      <c r="L10" s="15">
        <f>SUM(L6:L9)</f>
        <v>33546</v>
      </c>
      <c r="M10" s="15">
        <f>SUM(M6:M9)</f>
        <v>42200</v>
      </c>
      <c r="N10" s="227">
        <f>SUM(N6:N9)</f>
        <v>134456</v>
      </c>
      <c r="O10" s="227">
        <f t="shared" ref="O10:P10" si="14">SUM(O6:O9)</f>
        <v>117255</v>
      </c>
      <c r="P10" s="227">
        <f t="shared" si="14"/>
        <v>114446</v>
      </c>
      <c r="Q10" s="223">
        <f t="shared" si="4"/>
        <v>0.25797412508197698</v>
      </c>
      <c r="R10" s="145">
        <f>SUM(R6:R9)</f>
        <v>36787</v>
      </c>
      <c r="S10" s="145">
        <f>SUM(S6:S9)</f>
        <v>527</v>
      </c>
      <c r="T10" s="145">
        <f>SUM(T6:T9)</f>
        <v>34511</v>
      </c>
      <c r="U10" s="338">
        <f>(T10-S10)/S10</f>
        <v>64.485768500948765</v>
      </c>
      <c r="V10" s="145">
        <f>SUM(V6:V9)</f>
        <v>40428</v>
      </c>
      <c r="W10" s="145">
        <f>SUM(W6:W9)</f>
        <v>12460</v>
      </c>
      <c r="X10" s="145">
        <f>SUM(X6:X9)</f>
        <v>37073</v>
      </c>
      <c r="Y10" s="50">
        <f t="shared" si="6"/>
        <v>1.9753611556982344</v>
      </c>
      <c r="Z10" s="145">
        <f>SUM(Z6:Z9)</f>
        <v>45953</v>
      </c>
      <c r="AA10" s="15">
        <f>SUM(AA6:AA9)</f>
        <v>30416</v>
      </c>
      <c r="AB10" s="145">
        <f>SUM(AB6:AB9)</f>
        <v>36914</v>
      </c>
      <c r="AC10" s="145">
        <f t="shared" si="7"/>
        <v>123168</v>
      </c>
      <c r="AD10" s="145">
        <f t="shared" si="8"/>
        <v>43403</v>
      </c>
      <c r="AE10" s="145">
        <f t="shared" si="9"/>
        <v>108498</v>
      </c>
      <c r="AF10" s="50">
        <f t="shared" si="10"/>
        <v>0.21363755917937927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88">
        <f t="shared" si="11"/>
        <v>257624</v>
      </c>
      <c r="BL10" s="88">
        <f>SUM(D10,H10,L10,S10,W10,AA10,AH10,AL10,AP10,AW10,BA10,BE10)</f>
        <v>160658</v>
      </c>
      <c r="BM10" s="88">
        <f>SUM(E10,I10,M10,T10,X10,AB10,AI10,AM10,AQ10,AX10,BB10,BF10)</f>
        <v>222944</v>
      </c>
      <c r="BN10" s="30">
        <f>(BM10-BL10)/BL10</f>
        <v>0.38769311207658502</v>
      </c>
      <c r="BP10" s="21"/>
      <c r="BQ10" s="20"/>
    </row>
    <row r="12" spans="2:69">
      <c r="B12" s="21" t="s">
        <v>31</v>
      </c>
      <c r="D12" s="67" t="s">
        <v>45</v>
      </c>
    </row>
    <row r="13" spans="2:69">
      <c r="D13" s="67" t="s">
        <v>125</v>
      </c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137"/>
      <c r="BB13" s="137"/>
      <c r="BC13" s="22"/>
      <c r="BD13" s="63"/>
      <c r="BL13" s="142"/>
      <c r="BM13" s="142"/>
    </row>
    <row r="14" spans="2:69">
      <c r="D14" s="22"/>
      <c r="E14" s="22"/>
      <c r="F14" s="22"/>
      <c r="G14" s="63"/>
      <c r="H14" s="22"/>
      <c r="I14" s="22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6AAF584C-BBB2-49CA-84A7-F0DF11060BA2}"/>
    <hyperlink ref="D13" r:id="rId2" xr:uid="{BB838632-72F6-404E-AD42-D99794725A60}"/>
  </hyperlinks>
  <pageMargins left="0.7" right="0.7" top="0.78740157499999996" bottom="0.78740157499999996" header="0.3" footer="0.3"/>
  <pageSetup paperSize="9" orientation="portrait" verticalDpi="0" r:id="rId3"/>
  <ignoredErrors>
    <ignoredError sqref="F10 J10 Y10 U10 Q10 BL7" formula="1"/>
    <ignoredError sqref="G10:I10 K10:M10 C10:E10 Z10:AB10 V10:X10 R10:T10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6B7D-A822-4DF4-904D-71207FDD0198}">
  <dimension ref="A1:BQ21"/>
  <sheetViews>
    <sheetView topLeftCell="B1" zoomScaleNormal="100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9" style="51" customWidth="1"/>
    <col min="8" max="9" width="9.140625" style="21" customWidth="1"/>
    <col min="10" max="10" width="10.85546875" style="21" customWidth="1"/>
    <col min="11" max="11" width="9.710937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0.85546875" style="51" customWidth="1"/>
    <col min="19" max="19" width="10" style="21" customWidth="1"/>
    <col min="20" max="20" width="10.5703125" style="21" customWidth="1"/>
    <col min="21" max="21" width="11.140625" style="21" customWidth="1"/>
    <col min="22" max="22" width="9.28515625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10.710937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64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93538</v>
      </c>
      <c r="D6" s="185">
        <v>86442</v>
      </c>
      <c r="E6" s="31">
        <v>41966</v>
      </c>
      <c r="F6" s="198">
        <f>(E6-D6)/D6</f>
        <v>-0.51451840540478011</v>
      </c>
      <c r="G6" s="53">
        <v>100693</v>
      </c>
      <c r="H6" s="53">
        <v>94618</v>
      </c>
      <c r="I6" s="280">
        <v>58279</v>
      </c>
      <c r="J6" s="206">
        <f>(I6-H6)/H6</f>
        <v>-0.38406011541144391</v>
      </c>
      <c r="K6" s="53">
        <v>122659</v>
      </c>
      <c r="L6" s="53">
        <v>37642</v>
      </c>
      <c r="M6" s="216">
        <v>85819</v>
      </c>
      <c r="N6" s="53">
        <f>SUM(C6,G6,K6)</f>
        <v>316890</v>
      </c>
      <c r="O6" s="53">
        <f>SUM(D6,H6,L6)</f>
        <v>218702</v>
      </c>
      <c r="P6" s="53">
        <f>SUM(E6,I6,M6)</f>
        <v>186064</v>
      </c>
      <c r="Q6" s="222">
        <f>(M6-L6)/L6</f>
        <v>1.2798735455076775</v>
      </c>
      <c r="R6" s="53">
        <v>119417</v>
      </c>
      <c r="S6" s="31">
        <v>4163</v>
      </c>
      <c r="T6" s="31">
        <v>78595</v>
      </c>
      <c r="U6" s="49">
        <f>(T6-S6)/S6</f>
        <v>17.879413884218113</v>
      </c>
      <c r="V6" s="53">
        <v>125623</v>
      </c>
      <c r="W6" s="31">
        <v>34338</v>
      </c>
      <c r="X6" s="31">
        <v>95403</v>
      </c>
      <c r="Y6" s="49">
        <f>(X6-W6)/W6</f>
        <v>1.7783505154639174</v>
      </c>
      <c r="Z6" s="53">
        <v>130513</v>
      </c>
      <c r="AA6" s="31">
        <v>82651</v>
      </c>
      <c r="AB6" s="31">
        <v>96785</v>
      </c>
      <c r="AC6" s="53">
        <f>SUM(R6,V6,Z6)</f>
        <v>375553</v>
      </c>
      <c r="AD6" s="53">
        <f t="shared" ref="AD6:AE10" si="0">SUM(S6,W6,AA6)</f>
        <v>121152</v>
      </c>
      <c r="AE6" s="53">
        <f t="shared" si="0"/>
        <v>270783</v>
      </c>
      <c r="AF6" s="49">
        <f>(AB6-AA6)/AA6</f>
        <v>0.17100821526660295</v>
      </c>
      <c r="AG6" s="49"/>
      <c r="AH6" s="31"/>
      <c r="AI6" s="53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692443</v>
      </c>
      <c r="BL6" s="54">
        <f>SUM(D6,H6,L6,S6,W6,AA6,AH6,AL6,AP6,AW6,BA6,BE6)</f>
        <v>339854</v>
      </c>
      <c r="BM6" s="145">
        <f>SUM(E6,I6,M6,T6,X6,AB6,AI6,AM6,AQ6,AX6,BB6,BF6)</f>
        <v>456847</v>
      </c>
      <c r="BN6" s="32">
        <f>(BM6-BL6)/BL6</f>
        <v>0.34424488162563927</v>
      </c>
    </row>
    <row r="7" spans="2:69">
      <c r="B7" s="248" t="s">
        <v>3</v>
      </c>
      <c r="C7" s="53">
        <v>17387</v>
      </c>
      <c r="D7" s="185">
        <v>13848</v>
      </c>
      <c r="E7" s="31">
        <v>9542</v>
      </c>
      <c r="F7" s="198">
        <f>(E7-D7)/D7</f>
        <v>-0.31094742923165802</v>
      </c>
      <c r="G7" s="53">
        <v>16738</v>
      </c>
      <c r="H7" s="53">
        <v>15748</v>
      </c>
      <c r="I7" s="280">
        <v>12960</v>
      </c>
      <c r="J7" s="206">
        <f t="shared" ref="J7:J10" si="1">(I7-H7)/H7</f>
        <v>-0.17703835407670815</v>
      </c>
      <c r="K7" s="53">
        <v>20461</v>
      </c>
      <c r="L7" s="185">
        <v>6704</v>
      </c>
      <c r="M7" s="216">
        <v>18022</v>
      </c>
      <c r="N7" s="53">
        <f t="shared" ref="N7:N9" si="2">SUM(C7,G7,K7)</f>
        <v>54586</v>
      </c>
      <c r="O7" s="53">
        <f t="shared" ref="O7:O9" si="3">SUM(D7,H7,L7)</f>
        <v>36300</v>
      </c>
      <c r="P7" s="53">
        <f t="shared" ref="P7:P9" si="4">SUM(E7,I7,M7)</f>
        <v>40524</v>
      </c>
      <c r="Q7" s="222">
        <f t="shared" ref="Q7:Q10" si="5">(M7-L7)/L7</f>
        <v>1.6882458233890214</v>
      </c>
      <c r="R7" s="53">
        <v>20316</v>
      </c>
      <c r="S7" s="31">
        <v>1823</v>
      </c>
      <c r="T7" s="23">
        <v>15879</v>
      </c>
      <c r="U7" s="49">
        <f t="shared" ref="U7:U10" si="6">(T7-S7)/S7</f>
        <v>7.7103675260559514</v>
      </c>
      <c r="V7" s="53">
        <v>20746</v>
      </c>
      <c r="W7" s="31">
        <v>8574</v>
      </c>
      <c r="X7" s="31">
        <v>16209</v>
      </c>
      <c r="Y7" s="49">
        <f t="shared" ref="Y7:Y10" si="7">(X7-W7)/W7</f>
        <v>0.89048285514345693</v>
      </c>
      <c r="Z7" s="53">
        <v>20276</v>
      </c>
      <c r="AA7" s="31">
        <v>16268</v>
      </c>
      <c r="AB7" s="31">
        <v>15456</v>
      </c>
      <c r="AC7" s="53">
        <f t="shared" ref="AC7:AC10" si="8">SUM(R7,V7,Z7)</f>
        <v>61338</v>
      </c>
      <c r="AD7" s="53">
        <f t="shared" si="0"/>
        <v>26665</v>
      </c>
      <c r="AE7" s="53">
        <f t="shared" si="0"/>
        <v>47544</v>
      </c>
      <c r="AF7" s="49">
        <f t="shared" ref="AF7:AF10" si="9">(AB7-AA7)/AA7</f>
        <v>-4.9913941480206538E-2</v>
      </c>
      <c r="AG7" s="49"/>
      <c r="AH7" s="31"/>
      <c r="AI7" s="53"/>
      <c r="AJ7" s="49"/>
      <c r="AK7" s="49"/>
      <c r="AL7" s="31"/>
      <c r="AM7" s="53"/>
      <c r="AN7" s="49"/>
      <c r="AO7" s="49"/>
      <c r="AP7" s="31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10" si="10">SUM(C7,G7,K7,R7,V7,Z7,AG7,AK7,AO7,AV7,AZ7,BD7)</f>
        <v>115924</v>
      </c>
      <c r="BL7" s="145">
        <f t="shared" ref="BL7:BL9" si="11">SUM(D7,H7,L7,S7,W7,AA7,AH7,AL7,AP7,AW7,BA7,BE7)</f>
        <v>62965</v>
      </c>
      <c r="BM7" s="145">
        <f t="shared" ref="BM7:BM9" si="12">SUM(E7,I7,M7,T7,X7,AB7,AI7,AM7,AQ7,AX7,BB7,BF7)</f>
        <v>88068</v>
      </c>
      <c r="BN7" s="32">
        <f>(BM7-BL7)/BL7</f>
        <v>0.39868180735329151</v>
      </c>
    </row>
    <row r="8" spans="2:69">
      <c r="B8" s="248" t="s">
        <v>4</v>
      </c>
      <c r="C8" s="53">
        <v>2512</v>
      </c>
      <c r="D8" s="185">
        <v>2138</v>
      </c>
      <c r="E8" s="31">
        <v>1867</v>
      </c>
      <c r="F8" s="198">
        <f>(E8-D8)/D8</f>
        <v>-0.12675397567820393</v>
      </c>
      <c r="G8" s="53">
        <v>1736</v>
      </c>
      <c r="H8" s="53">
        <v>1748</v>
      </c>
      <c r="I8" s="280">
        <v>1860</v>
      </c>
      <c r="J8" s="206">
        <f t="shared" si="1"/>
        <v>6.4073226544622428E-2</v>
      </c>
      <c r="K8" s="53">
        <v>1762</v>
      </c>
      <c r="L8" s="53">
        <v>1219</v>
      </c>
      <c r="M8" s="216">
        <v>2078</v>
      </c>
      <c r="N8" s="53">
        <f t="shared" si="2"/>
        <v>6010</v>
      </c>
      <c r="O8" s="53">
        <f t="shared" si="3"/>
        <v>5105</v>
      </c>
      <c r="P8" s="53">
        <f t="shared" si="4"/>
        <v>5805</v>
      </c>
      <c r="Q8" s="222">
        <f t="shared" si="5"/>
        <v>0.70467596390484</v>
      </c>
      <c r="R8" s="53">
        <v>1691</v>
      </c>
      <c r="S8" s="31">
        <v>848</v>
      </c>
      <c r="T8" s="31">
        <v>1658</v>
      </c>
      <c r="U8" s="49">
        <f t="shared" si="6"/>
        <v>0.95518867924528306</v>
      </c>
      <c r="V8" s="53">
        <v>2246</v>
      </c>
      <c r="W8" s="31">
        <v>925</v>
      </c>
      <c r="X8" s="31">
        <v>1846</v>
      </c>
      <c r="Y8" s="49">
        <f t="shared" si="7"/>
        <v>0.99567567567567572</v>
      </c>
      <c r="Z8" s="53">
        <v>2867</v>
      </c>
      <c r="AA8" s="31">
        <v>1299</v>
      </c>
      <c r="AB8" s="53">
        <v>1533</v>
      </c>
      <c r="AC8" s="53">
        <f t="shared" si="8"/>
        <v>6804</v>
      </c>
      <c r="AD8" s="53">
        <f t="shared" si="0"/>
        <v>3072</v>
      </c>
      <c r="AE8" s="53">
        <f t="shared" si="0"/>
        <v>5037</v>
      </c>
      <c r="AF8" s="49">
        <f t="shared" si="9"/>
        <v>0.18013856812933027</v>
      </c>
      <c r="AG8" s="49"/>
      <c r="AH8" s="31"/>
      <c r="AI8" s="53"/>
      <c r="AJ8" s="49"/>
      <c r="AK8" s="49"/>
      <c r="AL8" s="31"/>
      <c r="AM8" s="53"/>
      <c r="AN8" s="49"/>
      <c r="AO8" s="49"/>
      <c r="AP8" s="69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71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10"/>
        <v>12814</v>
      </c>
      <c r="BL8" s="145">
        <f t="shared" si="11"/>
        <v>8177</v>
      </c>
      <c r="BM8" s="145">
        <f t="shared" si="12"/>
        <v>10842</v>
      </c>
      <c r="BN8" s="32">
        <f>(BM8-BL8)/BL8</f>
        <v>0.32591414944356123</v>
      </c>
    </row>
    <row r="9" spans="2:69">
      <c r="B9" s="248" t="s">
        <v>5</v>
      </c>
      <c r="C9" s="53">
        <v>325</v>
      </c>
      <c r="D9" s="185">
        <v>314</v>
      </c>
      <c r="E9" s="31">
        <v>129</v>
      </c>
      <c r="F9" s="198">
        <f>(E9-D9)/D9</f>
        <v>-0.58917197452229297</v>
      </c>
      <c r="G9" s="53">
        <v>306</v>
      </c>
      <c r="H9" s="53">
        <v>180</v>
      </c>
      <c r="I9" s="280">
        <v>139</v>
      </c>
      <c r="J9" s="206">
        <f t="shared" si="1"/>
        <v>-0.22777777777777777</v>
      </c>
      <c r="K9" s="53">
        <v>311</v>
      </c>
      <c r="L9" s="53">
        <v>97</v>
      </c>
      <c r="M9" s="216">
        <v>99</v>
      </c>
      <c r="N9" s="53">
        <f t="shared" si="2"/>
        <v>942</v>
      </c>
      <c r="O9" s="53">
        <f t="shared" si="3"/>
        <v>591</v>
      </c>
      <c r="P9" s="53">
        <f t="shared" si="4"/>
        <v>367</v>
      </c>
      <c r="Q9" s="222">
        <f t="shared" si="5"/>
        <v>2.0618556701030927E-2</v>
      </c>
      <c r="R9" s="53">
        <v>305</v>
      </c>
      <c r="S9" s="31">
        <v>56</v>
      </c>
      <c r="T9" s="31">
        <v>114</v>
      </c>
      <c r="U9" s="49">
        <f t="shared" si="6"/>
        <v>1.0357142857142858</v>
      </c>
      <c r="V9" s="53">
        <v>356</v>
      </c>
      <c r="W9" s="31">
        <v>85</v>
      </c>
      <c r="X9" s="31">
        <v>114</v>
      </c>
      <c r="Y9" s="49">
        <f t="shared" si="7"/>
        <v>0.3411764705882353</v>
      </c>
      <c r="Z9" s="53">
        <v>222</v>
      </c>
      <c r="AA9" s="10">
        <v>138</v>
      </c>
      <c r="AB9" s="10">
        <v>169</v>
      </c>
      <c r="AC9" s="53">
        <f t="shared" si="8"/>
        <v>883</v>
      </c>
      <c r="AD9" s="53">
        <f t="shared" si="0"/>
        <v>279</v>
      </c>
      <c r="AE9" s="53">
        <f t="shared" si="0"/>
        <v>397</v>
      </c>
      <c r="AF9" s="49">
        <f t="shared" si="9"/>
        <v>0.22463768115942029</v>
      </c>
      <c r="AG9" s="49"/>
      <c r="AH9" s="10"/>
      <c r="AI9" s="53"/>
      <c r="AJ9" s="49"/>
      <c r="AK9" s="49"/>
      <c r="AL9" s="31"/>
      <c r="AM9" s="10"/>
      <c r="AN9" s="49"/>
      <c r="AO9" s="193"/>
      <c r="AP9" s="69"/>
      <c r="AQ9" s="236"/>
      <c r="AR9" s="236"/>
      <c r="AS9" s="236"/>
      <c r="AT9" s="236"/>
      <c r="AU9" s="49"/>
      <c r="AV9" s="193"/>
      <c r="AW9" s="53"/>
      <c r="AX9" s="191"/>
      <c r="AY9" s="49"/>
      <c r="AZ9" s="193"/>
      <c r="BA9" s="71"/>
      <c r="BB9" s="191"/>
      <c r="BC9" s="49"/>
      <c r="BD9" s="49"/>
      <c r="BE9" s="35"/>
      <c r="BF9" s="10"/>
      <c r="BG9" s="52"/>
      <c r="BH9" s="52"/>
      <c r="BI9" s="52"/>
      <c r="BJ9" s="49"/>
      <c r="BK9" s="145">
        <f t="shared" si="10"/>
        <v>1825</v>
      </c>
      <c r="BL9" s="145">
        <f t="shared" si="11"/>
        <v>870</v>
      </c>
      <c r="BM9" s="145">
        <f t="shared" si="12"/>
        <v>764</v>
      </c>
      <c r="BN9" s="32">
        <f>(BM9-BL9)/BL9</f>
        <v>-0.12183908045977011</v>
      </c>
    </row>
    <row r="10" spans="2:69" s="9" customFormat="1">
      <c r="B10" s="249" t="s">
        <v>7</v>
      </c>
      <c r="C10" s="187">
        <f>SUM(C6:C9)</f>
        <v>113762</v>
      </c>
      <c r="D10" s="187">
        <f>SUM(D6:D9)</f>
        <v>102742</v>
      </c>
      <c r="E10" s="15">
        <f>SUM(E6:E9)</f>
        <v>53504</v>
      </c>
      <c r="F10" s="50">
        <f>(E10-D10)/D10</f>
        <v>-0.47923925950438961</v>
      </c>
      <c r="G10" s="289">
        <f>SUM(G6:G9)</f>
        <v>119473</v>
      </c>
      <c r="H10" s="289">
        <f>SUM(H6:H9)</f>
        <v>112294</v>
      </c>
      <c r="I10" s="289">
        <f>SUM(I6:I9)</f>
        <v>73238</v>
      </c>
      <c r="J10" s="207">
        <f t="shared" si="1"/>
        <v>-0.34780130728266873</v>
      </c>
      <c r="K10" s="300">
        <f>SUM(K6:K9)</f>
        <v>145193</v>
      </c>
      <c r="L10" s="15">
        <f>SUM(L6:L9)</f>
        <v>45662</v>
      </c>
      <c r="M10" s="15">
        <f>SUM(M6:M9)</f>
        <v>106018</v>
      </c>
      <c r="N10" s="227">
        <f>SUM(N6:N9)</f>
        <v>378428</v>
      </c>
      <c r="O10" s="227">
        <f t="shared" ref="O10:P10" si="13">SUM(O6:O9)</f>
        <v>260698</v>
      </c>
      <c r="P10" s="227">
        <f t="shared" si="13"/>
        <v>232760</v>
      </c>
      <c r="Q10" s="223">
        <f t="shared" si="5"/>
        <v>1.3217993079584776</v>
      </c>
      <c r="R10" s="145">
        <f>SUM(R6:R9)</f>
        <v>141729</v>
      </c>
      <c r="S10" s="145">
        <f>SUM(S6:S9)</f>
        <v>6890</v>
      </c>
      <c r="T10" s="145">
        <f>SUM(T6:T9)</f>
        <v>96246</v>
      </c>
      <c r="U10" s="50">
        <f t="shared" si="6"/>
        <v>12.968940493468795</v>
      </c>
      <c r="V10" s="145">
        <f>SUM(V6:V9)</f>
        <v>148971</v>
      </c>
      <c r="W10" s="145">
        <f>SUM(W6:W9)</f>
        <v>43922</v>
      </c>
      <c r="X10" s="145">
        <f>SUM(X6:X9)</f>
        <v>113572</v>
      </c>
      <c r="Y10" s="50">
        <f t="shared" si="7"/>
        <v>1.5857656755156868</v>
      </c>
      <c r="Z10" s="145">
        <f>SUM(Z6:Z9)</f>
        <v>153878</v>
      </c>
      <c r="AA10" s="145">
        <f>SUM(AA6:AA9)</f>
        <v>100356</v>
      </c>
      <c r="AB10" s="145">
        <f>SUM(AB6:AB9)</f>
        <v>113943</v>
      </c>
      <c r="AC10" s="145">
        <f t="shared" si="8"/>
        <v>444578</v>
      </c>
      <c r="AD10" s="145">
        <f t="shared" si="0"/>
        <v>151168</v>
      </c>
      <c r="AE10" s="145">
        <f t="shared" si="0"/>
        <v>323761</v>
      </c>
      <c r="AF10" s="50">
        <f t="shared" si="9"/>
        <v>0.13538801865359321</v>
      </c>
      <c r="AG10" s="50"/>
      <c r="AH10" s="54"/>
      <c r="AI10" s="54"/>
      <c r="AJ10" s="50"/>
      <c r="AK10" s="50"/>
      <c r="AL10" s="54"/>
      <c r="AM10" s="54"/>
      <c r="AN10" s="50"/>
      <c r="AO10" s="50"/>
      <c r="AP10" s="227"/>
      <c r="AQ10" s="54"/>
      <c r="AR10" s="145"/>
      <c r="AS10" s="145"/>
      <c r="AT10" s="145"/>
      <c r="AU10" s="50"/>
      <c r="AV10" s="50"/>
      <c r="AW10" s="227"/>
      <c r="AX10" s="54"/>
      <c r="AY10" s="50"/>
      <c r="AZ10" s="50"/>
      <c r="BA10" s="227"/>
      <c r="BB10" s="54"/>
      <c r="BC10" s="50"/>
      <c r="BD10" s="50"/>
      <c r="BE10" s="145"/>
      <c r="BF10" s="145"/>
      <c r="BG10" s="145"/>
      <c r="BH10" s="145"/>
      <c r="BI10" s="145"/>
      <c r="BJ10" s="50"/>
      <c r="BK10" s="145">
        <f t="shared" si="10"/>
        <v>823006</v>
      </c>
      <c r="BL10" s="54">
        <f>SUM(D10,H10,L10,S10,W10,AA10,AH10,AL10,AP10,AW10,BA10,BE10)</f>
        <v>411866</v>
      </c>
      <c r="BM10" s="145">
        <f>SUM(E10,I10,M10,T10,X10,AB10,AI10,AM10,AQ10,AX10,BB10,BF10)</f>
        <v>556521</v>
      </c>
      <c r="BN10" s="30">
        <f>(BM10-BL10)/BL10</f>
        <v>0.35121860022434481</v>
      </c>
      <c r="BP10" s="21"/>
      <c r="BQ10" s="20"/>
    </row>
    <row r="12" spans="2:69">
      <c r="B12" s="43" t="s">
        <v>65</v>
      </c>
      <c r="C12" s="43"/>
      <c r="D12" s="67" t="s">
        <v>117</v>
      </c>
      <c r="AN12" s="64"/>
      <c r="AO12" s="142"/>
      <c r="AP12" s="64"/>
      <c r="AQ12" s="64"/>
      <c r="AR12" s="142"/>
      <c r="AS12" s="142"/>
      <c r="AT12" s="142"/>
      <c r="AU12" s="64"/>
      <c r="AV12" s="142"/>
      <c r="AW12" s="64"/>
    </row>
    <row r="13" spans="2:69">
      <c r="AJ13" s="22"/>
      <c r="AK13" s="63"/>
      <c r="AL13" s="22"/>
      <c r="AM13" s="22"/>
      <c r="AN13" s="64"/>
      <c r="AO13" s="142"/>
      <c r="AP13" s="64"/>
      <c r="AQ13" s="64"/>
      <c r="AR13" s="142"/>
      <c r="AS13" s="142"/>
      <c r="AT13" s="142"/>
      <c r="AU13" s="64"/>
      <c r="AV13" s="142"/>
      <c r="AW13" s="64"/>
      <c r="AX13" s="64"/>
      <c r="AY13" s="22"/>
      <c r="AZ13" s="63"/>
      <c r="BA13" s="22"/>
      <c r="BB13" s="22"/>
      <c r="BC13" s="22"/>
      <c r="BD13" s="63"/>
      <c r="BL13" s="142"/>
      <c r="BM13" s="142"/>
    </row>
    <row r="14" spans="2:69">
      <c r="D14" s="22"/>
      <c r="E14" s="22"/>
      <c r="F14" s="22"/>
      <c r="G14" s="63"/>
      <c r="H14" s="22"/>
      <c r="I14" s="22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8D2A594C-A5A6-4446-8060-DABD34CC265C}"/>
  </hyperlinks>
  <pageMargins left="0.7" right="0.7" top="0.78740157499999996" bottom="0.78740157499999996" header="0.3" footer="0.3"/>
  <pageSetup paperSize="9" orientation="portrait" r:id="rId2"/>
  <ignoredErrors>
    <ignoredError sqref="C10:E10 G10 K10 R10:T10 V10:X10 Z10:AB10" formulaRange="1"/>
    <ignoredError sqref="F10 J10 Q10 U10 Y10" formula="1"/>
    <ignoredError sqref="H10:I10 L10:M10" formula="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F776-42E0-43B7-9F19-6C459E8601FA}">
  <dimension ref="A1:BQ21"/>
  <sheetViews>
    <sheetView topLeftCell="B1" zoomScaleNormal="100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19.28515625" style="51" customWidth="1"/>
    <col min="3" max="3" width="8.28515625" style="51" customWidth="1"/>
    <col min="4" max="4" width="8.7109375" style="51" customWidth="1"/>
    <col min="5" max="5" width="9" style="51" customWidth="1"/>
    <col min="6" max="6" width="11.5703125" style="51" customWidth="1"/>
    <col min="7" max="7" width="10.140625" style="51" customWidth="1"/>
    <col min="8" max="8" width="9.140625" style="51" customWidth="1"/>
    <col min="9" max="9" width="10.140625" style="51" customWidth="1"/>
    <col min="10" max="10" width="10.85546875" style="51" customWidth="1"/>
    <col min="11" max="11" width="10.4257812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7" width="10" style="51" customWidth="1"/>
    <col min="18" max="18" width="8.5703125" style="51" customWidth="1"/>
    <col min="19" max="19" width="10" style="51" customWidth="1"/>
    <col min="20" max="20" width="9.7109375" style="51" customWidth="1"/>
    <col min="21" max="21" width="11.140625" style="51" customWidth="1"/>
    <col min="22" max="22" width="9.85546875" style="51" customWidth="1"/>
    <col min="23" max="23" width="8.85546875" style="51" customWidth="1"/>
    <col min="24" max="24" width="10.42578125" style="51" customWidth="1"/>
    <col min="25" max="25" width="10.140625" style="51" bestFit="1" customWidth="1"/>
    <col min="26" max="26" width="9.85546875" style="51" customWidth="1"/>
    <col min="27" max="27" width="10.42578125" style="51" customWidth="1"/>
    <col min="28" max="31" width="11.42578125" style="51" customWidth="1"/>
    <col min="32" max="32" width="11.42578125" style="51"/>
    <col min="33" max="33" width="8.5703125" style="51" customWidth="1"/>
    <col min="34" max="34" width="9.28515625" style="51" customWidth="1"/>
    <col min="35" max="35" width="9.7109375" style="51" customWidth="1"/>
    <col min="36" max="36" width="11.42578125" style="5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/>
    <col min="41" max="41" width="9" style="51" customWidth="1"/>
    <col min="42" max="51" width="11.42578125" style="51"/>
    <col min="52" max="52" width="9.7109375" style="51" customWidth="1"/>
    <col min="53" max="62" width="11.42578125" style="51"/>
    <col min="63" max="63" width="11.42578125" style="316"/>
    <col min="64" max="16384" width="11.42578125" style="51"/>
  </cols>
  <sheetData>
    <row r="1" spans="2:69">
      <c r="B1" s="57" t="s">
        <v>66</v>
      </c>
      <c r="C1" s="57"/>
    </row>
    <row r="2" spans="2:69">
      <c r="B2" s="68"/>
      <c r="C2" s="68"/>
      <c r="AB2" s="64"/>
      <c r="AC2" s="142"/>
      <c r="AD2" s="142"/>
      <c r="AE2" s="142"/>
    </row>
    <row r="4" spans="2:69" ht="45" customHeight="1">
      <c r="B4" s="52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58">
        <v>2020</v>
      </c>
      <c r="BF5" s="58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58">
        <v>2020</v>
      </c>
      <c r="BM5" s="58">
        <v>2021</v>
      </c>
      <c r="BN5" s="369"/>
    </row>
    <row r="6" spans="2:69">
      <c r="B6" s="248" t="s">
        <v>6</v>
      </c>
      <c r="C6" s="53">
        <v>20478</v>
      </c>
      <c r="D6" s="185">
        <v>16798</v>
      </c>
      <c r="E6" s="171">
        <v>20573</v>
      </c>
      <c r="F6" s="198">
        <f>(E6-D6)/D6</f>
        <v>0.22472913442076436</v>
      </c>
      <c r="G6" s="53">
        <v>23146</v>
      </c>
      <c r="H6" s="156">
        <v>21694</v>
      </c>
      <c r="I6" s="281">
        <v>22837</v>
      </c>
      <c r="J6" s="198">
        <f>(I6-H6)/H6</f>
        <v>5.2687378998801514E-2</v>
      </c>
      <c r="K6" s="53">
        <v>30256</v>
      </c>
      <c r="L6" s="53">
        <v>27649</v>
      </c>
      <c r="M6" s="53">
        <v>47460</v>
      </c>
      <c r="N6" s="53">
        <f>SUM(C6,G6,K6)</f>
        <v>73880</v>
      </c>
      <c r="O6" s="53">
        <f>SUM(D6,H6,L6)</f>
        <v>66141</v>
      </c>
      <c r="P6" s="53">
        <f>SUM(E6,I6,M6)</f>
        <v>90870</v>
      </c>
      <c r="Q6" s="222">
        <f>(M6-L6)/L6</f>
        <v>0.71651777641144343</v>
      </c>
      <c r="R6" s="53">
        <v>30253</v>
      </c>
      <c r="S6" s="53">
        <v>18916</v>
      </c>
      <c r="T6" s="71">
        <v>21871</v>
      </c>
      <c r="U6" s="49">
        <f>(T6-S6)/S6</f>
        <v>0.156216959187989</v>
      </c>
      <c r="V6" s="53">
        <v>31919</v>
      </c>
      <c r="W6" s="53">
        <v>15881</v>
      </c>
      <c r="X6" s="69">
        <v>24327</v>
      </c>
      <c r="Y6" s="76">
        <f>(X6-W6)/W6</f>
        <v>0.53183048926390031</v>
      </c>
      <c r="Z6" s="69">
        <v>31830</v>
      </c>
      <c r="AA6" s="69">
        <v>24747</v>
      </c>
      <c r="AB6" s="69">
        <v>36095</v>
      </c>
      <c r="AC6" s="69">
        <f>SUM(R6,V6,Z6)</f>
        <v>94002</v>
      </c>
      <c r="AD6" s="69">
        <f>SUM(S6,W6,AA6)</f>
        <v>59544</v>
      </c>
      <c r="AE6" s="69">
        <f>SUM(T6,X6,AB6)</f>
        <v>82293</v>
      </c>
      <c r="AF6" s="76">
        <f>(AB6-AA6)/AA6</f>
        <v>0.45856063361215499</v>
      </c>
      <c r="AG6" s="76"/>
      <c r="AH6" s="69"/>
      <c r="AI6" s="75"/>
      <c r="AJ6" s="76"/>
      <c r="AK6" s="76"/>
      <c r="AL6" s="69"/>
      <c r="AM6" s="75"/>
      <c r="AN6" s="76"/>
      <c r="AO6" s="76"/>
      <c r="AP6" s="53"/>
      <c r="AQ6" s="53"/>
      <c r="AR6" s="53"/>
      <c r="AS6" s="53"/>
      <c r="AT6" s="53"/>
      <c r="AU6" s="76"/>
      <c r="AV6" s="76"/>
      <c r="AW6" s="1"/>
      <c r="AX6" s="2"/>
      <c r="AY6" s="76"/>
      <c r="AZ6" s="235"/>
      <c r="BA6" s="142"/>
      <c r="BB6" s="143"/>
      <c r="BC6" s="76"/>
      <c r="BD6" s="76"/>
      <c r="BE6" s="4"/>
      <c r="BF6" s="143"/>
      <c r="BG6" s="53"/>
      <c r="BH6" s="53"/>
      <c r="BI6" s="53"/>
      <c r="BJ6" s="76"/>
      <c r="BK6" s="145">
        <f>SUM(C6,G6,K6,R6,V6,Z6,AG6,AK6,AO6,AV6,AZ6,BD6)</f>
        <v>167882</v>
      </c>
      <c r="BL6" s="54">
        <f>SUM(D6,H6,L6,S6,W6,AA6,AH6,AL6,AP6,AW6,BA6,BE6)</f>
        <v>125685</v>
      </c>
      <c r="BM6" s="145">
        <f>SUM(E6,I6,M6,T6,X6,AB6,AI6,AM6,AQ6,AX6,BB6,BF6)</f>
        <v>173163</v>
      </c>
      <c r="BN6" s="59">
        <f>(BM6-BL6)/BL6</f>
        <v>0.37775390858097624</v>
      </c>
    </row>
    <row r="7" spans="2:69">
      <c r="B7" s="248" t="s">
        <v>3</v>
      </c>
      <c r="C7" s="53">
        <v>2762</v>
      </c>
      <c r="D7" s="185">
        <v>1173</v>
      </c>
      <c r="E7" s="112">
        <v>2149</v>
      </c>
      <c r="F7" s="198">
        <f>(E7-D7)/D7</f>
        <v>0.83205456095481667</v>
      </c>
      <c r="G7" s="53">
        <v>3101</v>
      </c>
      <c r="H7" s="281">
        <v>1923</v>
      </c>
      <c r="I7" s="281">
        <v>2814</v>
      </c>
      <c r="J7" s="198">
        <f t="shared" ref="J7:J9" si="0">(I7-H7)/H7</f>
        <v>0.46333853354134164</v>
      </c>
      <c r="K7" s="53">
        <v>4191</v>
      </c>
      <c r="L7" s="53">
        <v>2555</v>
      </c>
      <c r="M7" s="53">
        <v>8680</v>
      </c>
      <c r="N7" s="53">
        <f t="shared" ref="N7:N9" si="1">SUM(C7,G7,K7)</f>
        <v>10054</v>
      </c>
      <c r="O7" s="53">
        <f t="shared" ref="O7:O9" si="2">SUM(D7,H7,L7)</f>
        <v>5651</v>
      </c>
      <c r="P7" s="53">
        <f t="shared" ref="P7:P9" si="3">SUM(E7,I7,M7)</f>
        <v>13643</v>
      </c>
      <c r="Q7" s="222">
        <f t="shared" ref="Q7:Q10" si="4">(M7-L7)/L7</f>
        <v>2.3972602739726026</v>
      </c>
      <c r="R7" s="53">
        <v>4061</v>
      </c>
      <c r="S7" s="53">
        <v>2485</v>
      </c>
      <c r="T7" s="142">
        <v>1904</v>
      </c>
      <c r="U7" s="49">
        <f t="shared" ref="U7:U10" si="5">(T7-S7)/S7</f>
        <v>-0.23380281690140844</v>
      </c>
      <c r="V7" s="53">
        <v>4315</v>
      </c>
      <c r="W7" s="53">
        <v>2103</v>
      </c>
      <c r="X7" s="69">
        <v>2788</v>
      </c>
      <c r="Y7" s="76">
        <f t="shared" ref="Y7:Y10" si="6">(X7-W7)/W7</f>
        <v>0.32572515454113171</v>
      </c>
      <c r="Z7" s="69">
        <v>4530</v>
      </c>
      <c r="AA7" s="69">
        <v>2240</v>
      </c>
      <c r="AB7" s="69">
        <v>3139</v>
      </c>
      <c r="AC7" s="69">
        <f t="shared" ref="AC7:AC10" si="7">SUM(R7,V7,Z7)</f>
        <v>12906</v>
      </c>
      <c r="AD7" s="69">
        <f t="shared" ref="AD7:AD10" si="8">SUM(S7,W7,AA7)</f>
        <v>6828</v>
      </c>
      <c r="AE7" s="69">
        <f t="shared" ref="AE7:AE10" si="9">SUM(T7,X7,AB7)</f>
        <v>7831</v>
      </c>
      <c r="AF7" s="76">
        <f t="shared" ref="AF7:AF10" si="10">(AB7-AA7)/AA7</f>
        <v>0.40133928571428573</v>
      </c>
      <c r="AG7" s="76"/>
      <c r="AH7" s="69"/>
      <c r="AI7" s="75"/>
      <c r="AJ7" s="76"/>
      <c r="AK7" s="76"/>
      <c r="AL7" s="69"/>
      <c r="AM7" s="75"/>
      <c r="AN7" s="76"/>
      <c r="AO7" s="76"/>
      <c r="AP7" s="53"/>
      <c r="AQ7" s="53"/>
      <c r="AR7" s="53"/>
      <c r="AS7" s="53"/>
      <c r="AT7" s="53"/>
      <c r="AU7" s="76"/>
      <c r="AV7" s="76"/>
      <c r="AX7" s="1"/>
      <c r="AY7" s="76"/>
      <c r="AZ7" s="76"/>
      <c r="BA7" s="140"/>
      <c r="BB7" s="140"/>
      <c r="BC7" s="76"/>
      <c r="BD7" s="76"/>
      <c r="BE7" s="4"/>
      <c r="BF7" s="143"/>
      <c r="BG7" s="53"/>
      <c r="BH7" s="53"/>
      <c r="BI7" s="53"/>
      <c r="BJ7" s="76"/>
      <c r="BK7" s="145">
        <f t="shared" ref="BK7:BK10" si="11">SUM(C7,G7,K7,R7,V7,Z7,AG7,AK7,AO7,AV7,AZ7,BD7)</f>
        <v>22960</v>
      </c>
      <c r="BL7" s="145">
        <f t="shared" ref="BL7:BL9" si="12">SUM(D7,H7,L7,S7,W7,AA7,AH7,AL7,AP7,AW7,BA7,BE7)</f>
        <v>12479</v>
      </c>
      <c r="BM7" s="145">
        <f t="shared" ref="BM7:BM9" si="13">SUM(E7,I7,M7,T7,X7,AB7,AI7,AM7,AQ7,AX7,BB7,BF7)</f>
        <v>21474</v>
      </c>
      <c r="BN7" s="59">
        <f>(BM7-BL7)/BL7</f>
        <v>0.72081096241686038</v>
      </c>
    </row>
    <row r="8" spans="2:69">
      <c r="B8" s="248" t="s">
        <v>4</v>
      </c>
      <c r="C8" s="53">
        <v>455</v>
      </c>
      <c r="D8" s="185">
        <v>457</v>
      </c>
      <c r="E8" s="171">
        <v>422</v>
      </c>
      <c r="F8" s="198">
        <f>(E8-D8)/D8</f>
        <v>-7.6586433260393869E-2</v>
      </c>
      <c r="G8" s="53">
        <v>505</v>
      </c>
      <c r="H8" s="281">
        <v>451</v>
      </c>
      <c r="I8" s="281">
        <v>492</v>
      </c>
      <c r="J8" s="198">
        <f t="shared" si="0"/>
        <v>9.0909090909090912E-2</v>
      </c>
      <c r="K8" s="53">
        <v>700</v>
      </c>
      <c r="L8" s="53">
        <v>557</v>
      </c>
      <c r="M8" s="53">
        <v>588</v>
      </c>
      <c r="N8" s="53">
        <f t="shared" si="1"/>
        <v>1660</v>
      </c>
      <c r="O8" s="53">
        <f t="shared" si="2"/>
        <v>1465</v>
      </c>
      <c r="P8" s="53">
        <f t="shared" si="3"/>
        <v>1502</v>
      </c>
      <c r="Q8" s="222">
        <f t="shared" si="4"/>
        <v>5.565529622980251E-2</v>
      </c>
      <c r="R8" s="53">
        <v>696</v>
      </c>
      <c r="S8" s="53">
        <v>485</v>
      </c>
      <c r="T8" s="53">
        <v>615</v>
      </c>
      <c r="U8" s="49">
        <f t="shared" si="5"/>
        <v>0.26804123711340205</v>
      </c>
      <c r="V8" s="53">
        <v>785</v>
      </c>
      <c r="W8" s="53">
        <v>416</v>
      </c>
      <c r="X8" s="69">
        <v>569</v>
      </c>
      <c r="Y8" s="76">
        <f t="shared" si="6"/>
        <v>0.36778846153846156</v>
      </c>
      <c r="Z8" s="69">
        <v>1301</v>
      </c>
      <c r="AA8" s="69">
        <v>417</v>
      </c>
      <c r="AB8" s="75">
        <v>572</v>
      </c>
      <c r="AC8" s="69">
        <f t="shared" si="7"/>
        <v>2782</v>
      </c>
      <c r="AD8" s="69">
        <f t="shared" si="8"/>
        <v>1318</v>
      </c>
      <c r="AE8" s="69">
        <f t="shared" si="9"/>
        <v>1756</v>
      </c>
      <c r="AF8" s="76">
        <f t="shared" si="10"/>
        <v>0.37170263788968827</v>
      </c>
      <c r="AG8" s="76"/>
      <c r="AH8" s="69"/>
      <c r="AI8" s="75"/>
      <c r="AJ8" s="76"/>
      <c r="AK8" s="76"/>
      <c r="AL8" s="69"/>
      <c r="AM8" s="75"/>
      <c r="AN8" s="76"/>
      <c r="AO8" s="76"/>
      <c r="AP8" s="53"/>
      <c r="AQ8" s="53"/>
      <c r="AR8" s="53"/>
      <c r="AS8" s="53"/>
      <c r="AT8" s="53"/>
      <c r="AU8" s="76"/>
      <c r="AV8" s="76"/>
      <c r="AW8" s="2"/>
      <c r="AX8" s="1"/>
      <c r="AY8" s="76"/>
      <c r="AZ8" s="76"/>
      <c r="BA8" s="143"/>
      <c r="BB8" s="143"/>
      <c r="BC8" s="76"/>
      <c r="BD8" s="76"/>
      <c r="BE8" s="4"/>
      <c r="BF8" s="143"/>
      <c r="BG8" s="53"/>
      <c r="BH8" s="53"/>
      <c r="BI8" s="53"/>
      <c r="BJ8" s="76"/>
      <c r="BK8" s="145">
        <f t="shared" si="11"/>
        <v>4442</v>
      </c>
      <c r="BL8" s="145">
        <f t="shared" si="12"/>
        <v>2783</v>
      </c>
      <c r="BM8" s="145">
        <f t="shared" si="13"/>
        <v>3258</v>
      </c>
      <c r="BN8" s="59">
        <f>(BM8-BL8)/BL8</f>
        <v>0.17067912324829321</v>
      </c>
    </row>
    <row r="9" spans="2:69">
      <c r="B9" s="248" t="s">
        <v>5</v>
      </c>
      <c r="C9" s="53">
        <v>47</v>
      </c>
      <c r="D9" s="185">
        <v>38</v>
      </c>
      <c r="E9" s="171">
        <v>102</v>
      </c>
      <c r="F9" s="198">
        <f>(E9-D9)/D9</f>
        <v>1.6842105263157894</v>
      </c>
      <c r="G9" s="53">
        <v>57</v>
      </c>
      <c r="H9" s="281">
        <v>26</v>
      </c>
      <c r="I9" s="281">
        <v>35</v>
      </c>
      <c r="J9" s="198">
        <f t="shared" si="0"/>
        <v>0.34615384615384615</v>
      </c>
      <c r="K9" s="53">
        <v>71</v>
      </c>
      <c r="L9" s="53">
        <v>44</v>
      </c>
      <c r="M9" s="53">
        <v>25</v>
      </c>
      <c r="N9" s="53">
        <f t="shared" si="1"/>
        <v>175</v>
      </c>
      <c r="O9" s="53">
        <f t="shared" si="2"/>
        <v>108</v>
      </c>
      <c r="P9" s="53">
        <f t="shared" si="3"/>
        <v>162</v>
      </c>
      <c r="Q9" s="222">
        <f t="shared" si="4"/>
        <v>-0.43181818181818182</v>
      </c>
      <c r="R9" s="53">
        <v>69</v>
      </c>
      <c r="S9" s="53">
        <v>99</v>
      </c>
      <c r="T9" s="53">
        <v>100</v>
      </c>
      <c r="U9" s="49">
        <f t="shared" si="5"/>
        <v>1.0101010101010102E-2</v>
      </c>
      <c r="V9" s="53">
        <v>143</v>
      </c>
      <c r="W9" s="53">
        <v>207</v>
      </c>
      <c r="X9" s="69">
        <v>90</v>
      </c>
      <c r="Y9" s="76">
        <f t="shared" si="6"/>
        <v>-0.56521739130434778</v>
      </c>
      <c r="Z9" s="75">
        <v>449</v>
      </c>
      <c r="AA9" s="75">
        <v>236</v>
      </c>
      <c r="AB9" s="75">
        <v>42</v>
      </c>
      <c r="AC9" s="69">
        <f t="shared" si="7"/>
        <v>661</v>
      </c>
      <c r="AD9" s="69">
        <f t="shared" si="8"/>
        <v>542</v>
      </c>
      <c r="AE9" s="69">
        <f t="shared" si="9"/>
        <v>232</v>
      </c>
      <c r="AF9" s="76">
        <f t="shared" si="10"/>
        <v>-0.82203389830508478</v>
      </c>
      <c r="AG9" s="76"/>
      <c r="AH9" s="75"/>
      <c r="AI9" s="75"/>
      <c r="AJ9" s="76"/>
      <c r="AK9" s="76"/>
      <c r="AL9" s="75"/>
      <c r="AM9" s="75"/>
      <c r="AN9" s="76"/>
      <c r="AO9" s="235"/>
      <c r="AP9" s="53"/>
      <c r="AQ9" s="191"/>
      <c r="AR9" s="191"/>
      <c r="AS9" s="191"/>
      <c r="AT9" s="191"/>
      <c r="AU9" s="76"/>
      <c r="AV9" s="235"/>
      <c r="AW9" s="53"/>
      <c r="AX9" s="236"/>
      <c r="AY9" s="76"/>
      <c r="AZ9" s="235"/>
      <c r="BA9" s="53"/>
      <c r="BB9" s="191"/>
      <c r="BC9" s="76"/>
      <c r="BD9" s="76"/>
      <c r="BE9" s="4"/>
      <c r="BF9" s="143"/>
      <c r="BG9" s="53"/>
      <c r="BH9" s="53"/>
      <c r="BI9" s="53"/>
      <c r="BJ9" s="76"/>
      <c r="BK9" s="145">
        <f t="shared" si="11"/>
        <v>836</v>
      </c>
      <c r="BL9" s="145">
        <f t="shared" si="12"/>
        <v>650</v>
      </c>
      <c r="BM9" s="145">
        <f t="shared" si="13"/>
        <v>394</v>
      </c>
      <c r="BN9" s="59">
        <f>(BM9-BL9)/BL9</f>
        <v>-0.39384615384615385</v>
      </c>
    </row>
    <row r="10" spans="2:69" s="57" customFormat="1">
      <c r="B10" s="249" t="s">
        <v>7</v>
      </c>
      <c r="C10" s="187">
        <f>SUM(C6:C9)</f>
        <v>23742</v>
      </c>
      <c r="D10" s="187">
        <f>SUM(D6:D9)</f>
        <v>18466</v>
      </c>
      <c r="E10" s="54">
        <f>SUM(E6:E9)</f>
        <v>23246</v>
      </c>
      <c r="F10" s="50">
        <f>(E10-D10)/D10</f>
        <v>0.25885411025668797</v>
      </c>
      <c r="G10" s="145">
        <f>SUM(G6:G9)</f>
        <v>26809</v>
      </c>
      <c r="H10" s="54">
        <f>SUM(H6:H9)</f>
        <v>24094</v>
      </c>
      <c r="I10" s="54">
        <f>SUM(I6:I9)</f>
        <v>26178</v>
      </c>
      <c r="J10" s="50">
        <f>(I10-H10)/H10</f>
        <v>8.6494562961733218E-2</v>
      </c>
      <c r="K10" s="145">
        <f>SUM(K6:K9)</f>
        <v>35218</v>
      </c>
      <c r="L10" s="54">
        <f>SUM(L6:L9)</f>
        <v>30805</v>
      </c>
      <c r="M10" s="54">
        <f>SUM(M6:M9)</f>
        <v>56753</v>
      </c>
      <c r="N10" s="227">
        <f>SUM(N6:N9)</f>
        <v>85769</v>
      </c>
      <c r="O10" s="227">
        <f t="shared" ref="O10:P10" si="14">SUM(O6:O9)</f>
        <v>73365</v>
      </c>
      <c r="P10" s="227">
        <f t="shared" si="14"/>
        <v>106177</v>
      </c>
      <c r="Q10" s="223">
        <f t="shared" si="4"/>
        <v>0.84233079045609482</v>
      </c>
      <c r="R10" s="145">
        <f>SUM(R6:R9)</f>
        <v>35079</v>
      </c>
      <c r="S10" s="145">
        <f>SUM(S6:S9)</f>
        <v>21985</v>
      </c>
      <c r="T10" s="145">
        <f>SUM(T6:T9)</f>
        <v>24490</v>
      </c>
      <c r="U10" s="49">
        <f t="shared" si="5"/>
        <v>0.11394132362974756</v>
      </c>
      <c r="V10" s="145">
        <f>SUM(V6:V9)</f>
        <v>37162</v>
      </c>
      <c r="W10" s="54">
        <f>SUM(W6:W9)</f>
        <v>18607</v>
      </c>
      <c r="X10" s="145">
        <f>SUM(X6:X9)</f>
        <v>27774</v>
      </c>
      <c r="Y10" s="76">
        <f t="shared" si="6"/>
        <v>0.49266405116354062</v>
      </c>
      <c r="Z10" s="74">
        <f>SUM(Z6:Z9)</f>
        <v>38110</v>
      </c>
      <c r="AA10" s="74">
        <f>SUM(AA6:AA9)</f>
        <v>27640</v>
      </c>
      <c r="AB10" s="74">
        <f>SUM(AB6:AB9)</f>
        <v>39848</v>
      </c>
      <c r="AC10" s="74">
        <f t="shared" si="7"/>
        <v>110351</v>
      </c>
      <c r="AD10" s="74">
        <f t="shared" si="8"/>
        <v>68232</v>
      </c>
      <c r="AE10" s="74">
        <f t="shared" si="9"/>
        <v>92112</v>
      </c>
      <c r="AF10" s="360">
        <f t="shared" si="10"/>
        <v>0.44167872648335743</v>
      </c>
      <c r="AG10" s="76"/>
      <c r="AH10" s="74"/>
      <c r="AI10" s="74"/>
      <c r="AJ10" s="76"/>
      <c r="AK10" s="76"/>
      <c r="AL10" s="74"/>
      <c r="AM10" s="74"/>
      <c r="AN10" s="76"/>
      <c r="AO10" s="76"/>
      <c r="AP10" s="240"/>
      <c r="AQ10" s="74"/>
      <c r="AR10" s="74"/>
      <c r="AS10" s="74"/>
      <c r="AT10" s="74"/>
      <c r="AU10" s="76"/>
      <c r="AV10" s="76"/>
      <c r="AW10" s="240"/>
      <c r="AX10" s="74"/>
      <c r="AY10" s="76"/>
      <c r="AZ10" s="76"/>
      <c r="BA10" s="240"/>
      <c r="BB10" s="74"/>
      <c r="BC10" s="76"/>
      <c r="BD10" s="76"/>
      <c r="BE10" s="74"/>
      <c r="BF10" s="74"/>
      <c r="BG10" s="74"/>
      <c r="BH10" s="74"/>
      <c r="BI10" s="74"/>
      <c r="BJ10" s="76"/>
      <c r="BK10" s="145">
        <f t="shared" si="11"/>
        <v>196120</v>
      </c>
      <c r="BL10" s="54">
        <f>SUM(D10,H10,L10,S10,W10,AA10,AH10,AL10,AP10,AW10,BA10,BE10)</f>
        <v>141597</v>
      </c>
      <c r="BM10" s="145">
        <f>SUM(E10,I10,M10,T10,X10,AB10,AI10,AM10,AQ10,AX10,BB10,BF10)</f>
        <v>198289</v>
      </c>
      <c r="BN10" s="60">
        <f>(BM10-BL10)/BL10</f>
        <v>0.40037571417473533</v>
      </c>
      <c r="BP10" s="51"/>
      <c r="BQ10" s="62"/>
    </row>
    <row r="12" spans="2:69">
      <c r="B12" s="51" t="s">
        <v>67</v>
      </c>
      <c r="D12" s="67" t="s">
        <v>118</v>
      </c>
      <c r="AP12" s="64"/>
      <c r="BL12" s="64"/>
    </row>
    <row r="13" spans="2:69">
      <c r="D13" s="67" t="s">
        <v>126</v>
      </c>
      <c r="AJ13" s="63"/>
      <c r="AK13" s="63"/>
      <c r="AL13" s="63"/>
      <c r="AM13" s="63"/>
      <c r="AW13" s="63"/>
      <c r="AX13" s="63"/>
      <c r="AY13" s="63"/>
      <c r="AZ13" s="63"/>
      <c r="BA13" s="63"/>
      <c r="BB13" s="63"/>
      <c r="BC13" s="63"/>
      <c r="BD13" s="63"/>
      <c r="BL13" s="142"/>
      <c r="BM13" s="142"/>
    </row>
    <row r="14" spans="2:69">
      <c r="D14" s="63"/>
      <c r="E14" s="63"/>
      <c r="F14" s="63"/>
      <c r="G14" s="63"/>
      <c r="H14" s="63"/>
      <c r="I14" s="63"/>
    </row>
    <row r="15" spans="2:69">
      <c r="AJ15" s="64"/>
      <c r="AK15" s="142"/>
      <c r="AL15" s="64"/>
      <c r="AM15" s="64"/>
      <c r="AW15" s="64"/>
      <c r="AX15" s="64"/>
      <c r="AY15" s="64"/>
      <c r="AZ15" s="142"/>
      <c r="BA15" s="64"/>
      <c r="BB15" s="64"/>
      <c r="BC15" s="64"/>
      <c r="BD15" s="142"/>
    </row>
    <row r="16" spans="2:69">
      <c r="D16" s="64"/>
      <c r="E16" s="64"/>
      <c r="F16" s="64"/>
      <c r="G16" s="142"/>
      <c r="H16" s="64"/>
      <c r="I16" s="64"/>
      <c r="AJ16" s="64"/>
      <c r="AK16" s="142"/>
      <c r="AL16" s="64"/>
      <c r="AM16" s="64"/>
      <c r="AW16" s="64"/>
      <c r="AX16" s="64"/>
      <c r="AY16" s="64"/>
      <c r="AZ16" s="142"/>
      <c r="BA16" s="64"/>
      <c r="BB16" s="64"/>
      <c r="BC16" s="64"/>
      <c r="BD16" s="142"/>
    </row>
    <row r="17" spans="4:56">
      <c r="D17" s="64"/>
      <c r="E17" s="64"/>
      <c r="F17" s="64"/>
      <c r="G17" s="142"/>
      <c r="H17" s="64"/>
      <c r="I17" s="64"/>
      <c r="AJ17" s="64"/>
      <c r="AK17" s="142"/>
      <c r="AL17" s="64"/>
      <c r="AM17" s="64"/>
      <c r="AW17" s="64"/>
      <c r="AX17" s="64"/>
      <c r="AY17" s="64"/>
      <c r="AZ17" s="142"/>
      <c r="BA17" s="64"/>
      <c r="BB17" s="64"/>
      <c r="BC17" s="64"/>
      <c r="BD17" s="142"/>
    </row>
    <row r="18" spans="4:56">
      <c r="D18" s="64"/>
      <c r="E18" s="64"/>
      <c r="F18" s="64"/>
      <c r="G18" s="142"/>
      <c r="H18" s="64"/>
      <c r="I18" s="64"/>
      <c r="AJ18" s="64"/>
      <c r="AK18" s="142"/>
      <c r="AL18" s="64"/>
      <c r="AM18" s="64"/>
      <c r="AW18" s="64"/>
      <c r="AX18" s="64"/>
      <c r="AY18" s="64"/>
      <c r="AZ18" s="142"/>
      <c r="BA18" s="64"/>
      <c r="BB18" s="64"/>
      <c r="BC18" s="64"/>
      <c r="BD18" s="142"/>
    </row>
    <row r="19" spans="4:56">
      <c r="D19" s="64"/>
      <c r="E19" s="64"/>
      <c r="F19" s="64"/>
      <c r="G19" s="142"/>
      <c r="H19" s="64"/>
      <c r="I19" s="64"/>
      <c r="AJ19" s="64"/>
      <c r="AK19" s="142"/>
      <c r="AL19" s="64"/>
      <c r="AM19" s="64"/>
      <c r="AN19" s="64"/>
      <c r="AO19" s="142"/>
      <c r="AP19" s="64"/>
      <c r="AQ19" s="64"/>
      <c r="AR19" s="142"/>
      <c r="AS19" s="142"/>
      <c r="AT19" s="142"/>
      <c r="AU19" s="64"/>
      <c r="AV19" s="142"/>
      <c r="AW19" s="64"/>
      <c r="AX19" s="64"/>
      <c r="AY19" s="64"/>
      <c r="AZ19" s="142"/>
      <c r="BA19" s="64"/>
      <c r="BB19" s="64"/>
      <c r="BC19" s="64"/>
      <c r="BD19" s="142"/>
    </row>
    <row r="20" spans="4:56">
      <c r="D20" s="64"/>
      <c r="E20" s="64"/>
      <c r="F20" s="64"/>
      <c r="G20" s="142"/>
      <c r="H20" s="64"/>
      <c r="I20" s="64"/>
      <c r="AJ20" s="64"/>
      <c r="AK20" s="142"/>
      <c r="AL20" s="64"/>
      <c r="AM20" s="64"/>
      <c r="AN20" s="64"/>
      <c r="AO20" s="142"/>
      <c r="AP20" s="64"/>
      <c r="AQ20" s="64"/>
      <c r="AR20" s="142"/>
      <c r="AS20" s="142"/>
      <c r="AT20" s="142"/>
      <c r="AU20" s="64"/>
      <c r="AV20" s="142"/>
      <c r="AW20" s="64"/>
      <c r="AX20" s="64"/>
      <c r="AY20" s="64"/>
      <c r="AZ20" s="142"/>
      <c r="BA20" s="64"/>
      <c r="BB20" s="64"/>
      <c r="BC20" s="64"/>
      <c r="BD20" s="142"/>
    </row>
    <row r="21" spans="4:56">
      <c r="D21" s="64"/>
      <c r="E21" s="64"/>
      <c r="F21" s="64"/>
      <c r="G21" s="142"/>
      <c r="H21" s="64"/>
      <c r="I21" s="64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2" r:id="rId1" xr:uid="{ADD008BC-9380-4FCF-AC43-C04AEF226B5E}"/>
    <hyperlink ref="D13" r:id="rId2" xr:uid="{7B1D6E53-B208-4E5D-AB9E-10FD3A0F252A}"/>
  </hyperlinks>
  <pageMargins left="0.7" right="0.7" top="0.78740157499999996" bottom="0.78740157499999996" header="0.3" footer="0.3"/>
  <pageSetup paperSize="9" orientation="portrait" verticalDpi="0" r:id="rId3"/>
  <ignoredErrors>
    <ignoredError sqref="C10:E10 G10:I10 K10:M10 R10:T10 V10:X10 Z10:AB10" formulaRange="1"/>
    <ignoredError sqref="F10 J10 Q10 U10 Y10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9009-DE58-4075-8D17-F4F84B43F64B}">
  <dimension ref="A1:BQ28"/>
  <sheetViews>
    <sheetView topLeftCell="B1" zoomScale="96" zoomScaleNormal="96" workbookViewId="0">
      <pane xSplit="1" topLeftCell="AV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140625" style="21" customWidth="1"/>
    <col min="5" max="5" width="10" style="21" customWidth="1"/>
    <col min="6" max="6" width="11.5703125" style="21" customWidth="1"/>
    <col min="7" max="7" width="10.5703125" style="51" customWidth="1"/>
    <col min="8" max="8" width="10.28515625" style="21" customWidth="1"/>
    <col min="9" max="9" width="11.7109375" style="21" customWidth="1"/>
    <col min="10" max="10" width="10.85546875" style="21" customWidth="1"/>
    <col min="11" max="11" width="9.285156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11.5703125" style="51" customWidth="1"/>
    <col min="19" max="19" width="10" style="21" customWidth="1"/>
    <col min="20" max="20" width="9.7109375" style="21" customWidth="1"/>
    <col min="21" max="21" width="10.7109375" style="21" customWidth="1"/>
    <col min="22" max="22" width="10" style="51" customWidth="1"/>
    <col min="23" max="23" width="10.85546875" style="21" customWidth="1"/>
    <col min="24" max="24" width="10.42578125" style="21" customWidth="1"/>
    <col min="25" max="25" width="11.140625" style="21" customWidth="1"/>
    <col min="26" max="26" width="9.5703125" style="51" customWidth="1"/>
    <col min="27" max="27" width="10.28515625" style="21" customWidth="1"/>
    <col min="28" max="28" width="10.5703125" style="21" customWidth="1"/>
    <col min="29" max="31" width="10.5703125" style="51" customWidth="1"/>
    <col min="32" max="32" width="11.42578125" style="2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32</v>
      </c>
      <c r="C1" s="57"/>
    </row>
    <row r="2" spans="2:69">
      <c r="AB2" s="23"/>
      <c r="AC2" s="142"/>
      <c r="AD2" s="142"/>
      <c r="AE2" s="142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73">
        <v>20931</v>
      </c>
      <c r="D6" s="185">
        <v>18788</v>
      </c>
      <c r="E6" s="2">
        <v>15130</v>
      </c>
      <c r="F6" s="198">
        <f>(E6-D6)/D6</f>
        <v>-0.19469874387907174</v>
      </c>
      <c r="G6" s="280">
        <v>22176</v>
      </c>
      <c r="H6" s="185">
        <v>19108</v>
      </c>
      <c r="I6" s="2">
        <v>16131</v>
      </c>
      <c r="J6" s="206">
        <f>(I6-H6)/H6</f>
        <v>-0.15579861837973624</v>
      </c>
      <c r="K6" s="280">
        <v>28958</v>
      </c>
      <c r="L6" s="185">
        <v>17556</v>
      </c>
      <c r="M6" s="143">
        <v>25236</v>
      </c>
      <c r="N6" s="53">
        <f>SUM(C6,G6,K6)</f>
        <v>72065</v>
      </c>
      <c r="O6" s="53">
        <f>SUM(D6,H6,L6)</f>
        <v>55452</v>
      </c>
      <c r="P6" s="53">
        <f>SUM(E6,I6,M6)</f>
        <v>56497</v>
      </c>
      <c r="Q6" s="222">
        <f>(M6-L6)/L6</f>
        <v>0.43745727956254271</v>
      </c>
      <c r="R6" s="143">
        <v>28620</v>
      </c>
      <c r="S6" s="2">
        <v>9382</v>
      </c>
      <c r="T6" s="2">
        <v>22054</v>
      </c>
      <c r="U6" s="49">
        <f>(T6-S6)/S6</f>
        <v>1.350671498614368</v>
      </c>
      <c r="V6" s="143">
        <v>28060</v>
      </c>
      <c r="W6" s="2">
        <v>13890</v>
      </c>
      <c r="X6" s="2">
        <v>19991</v>
      </c>
      <c r="Y6" s="49">
        <f>(X6-W6)/W6</f>
        <v>0.43923686105111592</v>
      </c>
      <c r="Z6" s="143">
        <v>28391</v>
      </c>
      <c r="AA6" s="2">
        <v>24477</v>
      </c>
      <c r="AB6" s="31">
        <v>26005</v>
      </c>
      <c r="AC6" s="53">
        <f>SUM(R6,V6,Z6)</f>
        <v>85071</v>
      </c>
      <c r="AD6" s="53">
        <f t="shared" ref="AD6:AE10" si="0">SUM(S6,W6,AA6)</f>
        <v>47749</v>
      </c>
      <c r="AE6" s="53">
        <f t="shared" si="0"/>
        <v>68050</v>
      </c>
      <c r="AF6" s="49">
        <f>(AB6-AA6)/AA6</f>
        <v>6.2425950892674754E-2</v>
      </c>
      <c r="AG6" s="49"/>
      <c r="AH6" s="47"/>
      <c r="AI6" s="79"/>
      <c r="AJ6" s="49"/>
      <c r="AK6" s="49"/>
      <c r="AL6" s="2"/>
      <c r="AM6" s="53"/>
      <c r="AN6" s="49"/>
      <c r="AO6" s="49"/>
      <c r="AP6" s="2"/>
      <c r="AQ6" s="2"/>
      <c r="AR6" s="53"/>
      <c r="AS6" s="53"/>
      <c r="AT6" s="53"/>
      <c r="AU6" s="49"/>
      <c r="AV6" s="49"/>
      <c r="AW6" s="2"/>
      <c r="AX6" s="53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80">
        <f>SUM(C6,G6,K6,R6,V6,Z6,AG6,AK6,AO6,AV6,AZ6,BD6)</f>
        <v>157136</v>
      </c>
      <c r="BL6" s="80">
        <f>SUM(D6,H6,L6,S6,W6,AA6,AH6,AL6,AP6,AW6,BA6,BE6)</f>
        <v>103201</v>
      </c>
      <c r="BM6" s="80">
        <f>SUM(E6,I6,M6,T6,X6,AB6,AI6,AM6,AQ6,AX6,BB6,BF6)</f>
        <v>124547</v>
      </c>
      <c r="BN6" s="13">
        <f>(BM6-BL6)/BL6</f>
        <v>0.20683908101665682</v>
      </c>
    </row>
    <row r="7" spans="2:69">
      <c r="B7" s="248" t="s">
        <v>3</v>
      </c>
      <c r="C7" s="273">
        <v>2449</v>
      </c>
      <c r="D7" s="185">
        <v>2318</v>
      </c>
      <c r="E7" s="2">
        <v>2287</v>
      </c>
      <c r="F7" s="198">
        <f>(E7-D7)/D7</f>
        <v>-1.3373597929249352E-2</v>
      </c>
      <c r="G7" s="280">
        <v>2017</v>
      </c>
      <c r="H7" s="185">
        <v>2361</v>
      </c>
      <c r="I7" s="2">
        <v>2360</v>
      </c>
      <c r="J7" s="206">
        <f t="shared" ref="J7:J10" si="1">(I7-H7)/H7</f>
        <v>-4.2354934349851756E-4</v>
      </c>
      <c r="K7" s="280">
        <v>3645</v>
      </c>
      <c r="L7" s="185">
        <v>2282</v>
      </c>
      <c r="M7" s="216">
        <v>3148</v>
      </c>
      <c r="N7" s="53">
        <f t="shared" ref="N7:N9" si="2">SUM(C7,G7,K7)</f>
        <v>8111</v>
      </c>
      <c r="O7" s="53">
        <f t="shared" ref="O7:O9" si="3">SUM(D7,H7,L7)</f>
        <v>6961</v>
      </c>
      <c r="P7" s="53">
        <f t="shared" ref="P7:P9" si="4">SUM(E7,I7,M7)</f>
        <v>7795</v>
      </c>
      <c r="Q7" s="222">
        <f t="shared" ref="Q7:Q10" si="5">(M7-L7)/L7</f>
        <v>0.37949167397020156</v>
      </c>
      <c r="R7" s="143">
        <v>2963</v>
      </c>
      <c r="S7" s="2">
        <v>1746</v>
      </c>
      <c r="T7" s="23">
        <v>2835</v>
      </c>
      <c r="U7" s="49">
        <f t="shared" ref="U7:U10" si="6">(T7-S7)/S7</f>
        <v>0.62371134020618557</v>
      </c>
      <c r="V7" s="143">
        <v>3284</v>
      </c>
      <c r="W7" s="2">
        <v>1948</v>
      </c>
      <c r="X7" s="2">
        <v>2454</v>
      </c>
      <c r="Y7" s="49">
        <f t="shared" ref="Y7:Y10" si="7">(X7-W7)/W7</f>
        <v>0.2597535934291581</v>
      </c>
      <c r="Z7" s="143">
        <v>2842</v>
      </c>
      <c r="AA7" s="2">
        <v>2320</v>
      </c>
      <c r="AB7" s="31">
        <v>2614</v>
      </c>
      <c r="AC7" s="53">
        <f t="shared" ref="AC7:AC10" si="8">SUM(R7,V7,Z7)</f>
        <v>9089</v>
      </c>
      <c r="AD7" s="53">
        <f t="shared" si="0"/>
        <v>6014</v>
      </c>
      <c r="AE7" s="53">
        <f t="shared" si="0"/>
        <v>7903</v>
      </c>
      <c r="AF7" s="49">
        <f t="shared" ref="AF7:AF10" si="9">(AB7-AA7)/AA7</f>
        <v>0.12672413793103449</v>
      </c>
      <c r="AG7" s="49"/>
      <c r="AH7" s="2"/>
      <c r="AI7" s="10"/>
      <c r="AJ7" s="49"/>
      <c r="AK7" s="49"/>
      <c r="AL7" s="2"/>
      <c r="AM7" s="53"/>
      <c r="AN7" s="49"/>
      <c r="AO7" s="49"/>
      <c r="AP7" s="2"/>
      <c r="AQ7" s="53"/>
      <c r="AR7" s="53"/>
      <c r="AS7" s="53"/>
      <c r="AT7" s="53"/>
      <c r="AU7" s="49"/>
      <c r="AV7" s="49"/>
      <c r="AW7" s="2"/>
      <c r="AX7" s="53"/>
      <c r="AY7" s="49"/>
      <c r="AZ7" s="49"/>
      <c r="BA7" s="2"/>
      <c r="BB7" s="53"/>
      <c r="BC7" s="49"/>
      <c r="BD7" s="49"/>
      <c r="BE7" s="4"/>
      <c r="BF7" s="53"/>
      <c r="BG7" s="53"/>
      <c r="BH7" s="53"/>
      <c r="BI7" s="53"/>
      <c r="BJ7" s="49"/>
      <c r="BK7" s="80">
        <f t="shared" ref="BK7:BK10" si="10">SUM(C7,G7,K7,R7,V7,Z7,AG7,AK7,AO7,AV7,AZ7,BD7)</f>
        <v>17200</v>
      </c>
      <c r="BL7" s="80">
        <f t="shared" ref="BL7:BL9" si="11">SUM(D7,H7,L7,S7,W7,AA7,AH7,AL7,AP7,AW7,BA7,BE7)</f>
        <v>12975</v>
      </c>
      <c r="BM7" s="80">
        <f t="shared" ref="BM7:BM9" si="12">SUM(E7,I7,M7,T7,X7,AB7,AI7,AM7,AQ7,AX7,BB7,BF7)</f>
        <v>15698</v>
      </c>
      <c r="BN7" s="13">
        <f>(BM7-BL7)/BL7</f>
        <v>0.20986512524084777</v>
      </c>
    </row>
    <row r="8" spans="2:69">
      <c r="B8" s="248" t="s">
        <v>4</v>
      </c>
      <c r="C8" s="273">
        <v>350</v>
      </c>
      <c r="D8" s="185">
        <v>350</v>
      </c>
      <c r="E8" s="2">
        <v>259</v>
      </c>
      <c r="F8" s="198">
        <f>(E8-D8)/D8</f>
        <v>-0.26</v>
      </c>
      <c r="G8" s="281">
        <v>348</v>
      </c>
      <c r="H8" s="185">
        <v>286</v>
      </c>
      <c r="I8" s="2">
        <v>256</v>
      </c>
      <c r="J8" s="206">
        <f t="shared" si="1"/>
        <v>-0.1048951048951049</v>
      </c>
      <c r="K8" s="281">
        <v>395</v>
      </c>
      <c r="L8" s="185">
        <v>340</v>
      </c>
      <c r="M8" s="216">
        <v>386</v>
      </c>
      <c r="N8" s="53">
        <f t="shared" si="2"/>
        <v>1093</v>
      </c>
      <c r="O8" s="53">
        <f t="shared" si="3"/>
        <v>976</v>
      </c>
      <c r="P8" s="53">
        <f t="shared" si="4"/>
        <v>901</v>
      </c>
      <c r="Q8" s="222">
        <f t="shared" si="5"/>
        <v>0.13529411764705881</v>
      </c>
      <c r="R8" s="143">
        <v>362</v>
      </c>
      <c r="S8" s="2">
        <v>272</v>
      </c>
      <c r="T8" s="2">
        <v>436</v>
      </c>
      <c r="U8" s="49">
        <f t="shared" si="6"/>
        <v>0.6029411764705882</v>
      </c>
      <c r="V8" s="143">
        <v>502</v>
      </c>
      <c r="W8" s="2">
        <v>318</v>
      </c>
      <c r="X8" s="2">
        <v>219</v>
      </c>
      <c r="Y8" s="49">
        <f t="shared" si="7"/>
        <v>-0.31132075471698112</v>
      </c>
      <c r="Z8" s="143">
        <v>718</v>
      </c>
      <c r="AA8" s="2">
        <v>303</v>
      </c>
      <c r="AB8" s="10">
        <v>348</v>
      </c>
      <c r="AC8" s="53">
        <f t="shared" si="8"/>
        <v>1582</v>
      </c>
      <c r="AD8" s="53">
        <f t="shared" si="0"/>
        <v>893</v>
      </c>
      <c r="AE8" s="53">
        <f t="shared" si="0"/>
        <v>1003</v>
      </c>
      <c r="AF8" s="49">
        <f t="shared" si="9"/>
        <v>0.14851485148514851</v>
      </c>
      <c r="AG8" s="49"/>
      <c r="AH8" s="2"/>
      <c r="AI8" s="10"/>
      <c r="AJ8" s="49"/>
      <c r="AK8" s="49"/>
      <c r="AL8" s="2"/>
      <c r="AM8" s="10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80">
        <f t="shared" si="10"/>
        <v>2675</v>
      </c>
      <c r="BL8" s="80">
        <f t="shared" si="11"/>
        <v>1869</v>
      </c>
      <c r="BM8" s="80">
        <f t="shared" si="12"/>
        <v>1904</v>
      </c>
      <c r="BN8" s="13">
        <f>(BM8-BL8)/BL8</f>
        <v>1.8726591760299626E-2</v>
      </c>
    </row>
    <row r="9" spans="2:69">
      <c r="B9" s="248" t="s">
        <v>5</v>
      </c>
      <c r="C9" s="280">
        <v>54</v>
      </c>
      <c r="D9" s="185">
        <v>57</v>
      </c>
      <c r="E9" s="2">
        <v>58</v>
      </c>
      <c r="F9" s="198">
        <f>(E9-D9)/D9</f>
        <v>1.7543859649122806E-2</v>
      </c>
      <c r="G9" s="281">
        <v>12</v>
      </c>
      <c r="H9" s="185">
        <v>32</v>
      </c>
      <c r="I9" s="2">
        <v>22</v>
      </c>
      <c r="J9" s="206">
        <f t="shared" si="1"/>
        <v>-0.3125</v>
      </c>
      <c r="K9" s="281">
        <v>30</v>
      </c>
      <c r="L9" s="185">
        <v>26</v>
      </c>
      <c r="M9" s="216">
        <v>34</v>
      </c>
      <c r="N9" s="53">
        <f t="shared" si="2"/>
        <v>96</v>
      </c>
      <c r="O9" s="53">
        <f t="shared" si="3"/>
        <v>115</v>
      </c>
      <c r="P9" s="53">
        <f t="shared" si="4"/>
        <v>114</v>
      </c>
      <c r="Q9" s="222">
        <f t="shared" si="5"/>
        <v>0.30769230769230771</v>
      </c>
      <c r="R9" s="143">
        <v>888</v>
      </c>
      <c r="S9" s="2">
        <v>25</v>
      </c>
      <c r="T9" s="2">
        <v>34</v>
      </c>
      <c r="U9" s="49">
        <f t="shared" si="6"/>
        <v>0.36</v>
      </c>
      <c r="V9" s="143">
        <v>905</v>
      </c>
      <c r="W9" s="2">
        <v>19</v>
      </c>
      <c r="X9" s="2">
        <v>34</v>
      </c>
      <c r="Y9" s="49">
        <f t="shared" si="7"/>
        <v>0.78947368421052633</v>
      </c>
      <c r="Z9" s="143">
        <v>656</v>
      </c>
      <c r="AA9" s="1">
        <v>236</v>
      </c>
      <c r="AB9" s="10">
        <v>266</v>
      </c>
      <c r="AC9" s="53">
        <f t="shared" si="8"/>
        <v>2449</v>
      </c>
      <c r="AD9" s="53">
        <f t="shared" si="0"/>
        <v>280</v>
      </c>
      <c r="AE9" s="53">
        <f t="shared" si="0"/>
        <v>334</v>
      </c>
      <c r="AF9" s="49">
        <f t="shared" si="9"/>
        <v>0.1271186440677966</v>
      </c>
      <c r="AG9" s="49"/>
      <c r="AH9" s="1"/>
      <c r="AI9" s="10"/>
      <c r="AJ9" s="49"/>
      <c r="AK9" s="49"/>
      <c r="AL9" s="2"/>
      <c r="AM9" s="10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4"/>
      <c r="BF9" s="53"/>
      <c r="BG9" s="53"/>
      <c r="BH9" s="53"/>
      <c r="BI9" s="53"/>
      <c r="BJ9" s="49"/>
      <c r="BK9" s="80">
        <f t="shared" si="10"/>
        <v>2545</v>
      </c>
      <c r="BL9" s="80">
        <f t="shared" si="11"/>
        <v>395</v>
      </c>
      <c r="BM9" s="80">
        <f t="shared" si="12"/>
        <v>448</v>
      </c>
      <c r="BN9" s="13">
        <f>(BM9-BL9)/BL9</f>
        <v>0.13417721518987341</v>
      </c>
    </row>
    <row r="10" spans="2:69" s="9" customFormat="1">
      <c r="B10" s="249" t="s">
        <v>7</v>
      </c>
      <c r="C10" s="187">
        <f>SUM(C6:C9)</f>
        <v>23784</v>
      </c>
      <c r="D10" s="187">
        <f>SUM(D6:D9)</f>
        <v>21513</v>
      </c>
      <c r="E10" s="3">
        <f>SUM(E6:E9)</f>
        <v>17734</v>
      </c>
      <c r="F10" s="50">
        <f>(E10-D10)/D10</f>
        <v>-0.17566122809464044</v>
      </c>
      <c r="G10" s="3">
        <f>SUM(G6:G9)</f>
        <v>24553</v>
      </c>
      <c r="H10" s="3">
        <f>SUM(H6:H9)</f>
        <v>21787</v>
      </c>
      <c r="I10" s="3">
        <f>SUM(I6:I9)</f>
        <v>18769</v>
      </c>
      <c r="J10" s="207">
        <f t="shared" si="1"/>
        <v>-0.13852297241474273</v>
      </c>
      <c r="K10" s="3">
        <f>SUM(K6:K9)</f>
        <v>33028</v>
      </c>
      <c r="L10" s="3">
        <f>SUM(L6:L9)</f>
        <v>20204</v>
      </c>
      <c r="M10" s="3">
        <f>SUM(M6:M9)</f>
        <v>28804</v>
      </c>
      <c r="N10" s="227">
        <f>SUM(N6:N9)</f>
        <v>81365</v>
      </c>
      <c r="O10" s="227">
        <f t="shared" ref="O10:P10" si="13">SUM(O6:O9)</f>
        <v>63504</v>
      </c>
      <c r="P10" s="227">
        <f t="shared" si="13"/>
        <v>65307</v>
      </c>
      <c r="Q10" s="223">
        <f t="shared" si="5"/>
        <v>0.42565828548802215</v>
      </c>
      <c r="R10" s="3">
        <f>SUM(R6:R9)</f>
        <v>32833</v>
      </c>
      <c r="S10" s="3">
        <f>SUM(S6:S9)</f>
        <v>11425</v>
      </c>
      <c r="T10" s="3">
        <f>SUM(T6:T9)</f>
        <v>25359</v>
      </c>
      <c r="U10" s="50">
        <f t="shared" si="6"/>
        <v>1.2196061269146607</v>
      </c>
      <c r="V10" s="3">
        <f>SUM(V6:V9)</f>
        <v>32751</v>
      </c>
      <c r="W10" s="3">
        <f>SUM(W6:W9)</f>
        <v>16175</v>
      </c>
      <c r="X10" s="3">
        <f>SUM(X6:X9)</f>
        <v>22698</v>
      </c>
      <c r="Y10" s="50">
        <f t="shared" si="7"/>
        <v>0.40327666151468317</v>
      </c>
      <c r="Z10" s="3">
        <f>SUM(Z6:Z9)</f>
        <v>32607</v>
      </c>
      <c r="AA10" s="3">
        <f t="shared" ref="AA10:AB10" si="14">SUM(AA6:AA9)</f>
        <v>27336</v>
      </c>
      <c r="AB10" s="3">
        <f t="shared" si="14"/>
        <v>29233</v>
      </c>
      <c r="AC10" s="145">
        <f t="shared" si="8"/>
        <v>98191</v>
      </c>
      <c r="AD10" s="145">
        <f t="shared" si="0"/>
        <v>54936</v>
      </c>
      <c r="AE10" s="145">
        <f t="shared" si="0"/>
        <v>77290</v>
      </c>
      <c r="AF10" s="50">
        <f t="shared" si="9"/>
        <v>6.93956687152473E-2</v>
      </c>
      <c r="AG10" s="50"/>
      <c r="AH10" s="3"/>
      <c r="AI10" s="3"/>
      <c r="AJ10" s="50"/>
      <c r="AK10" s="50"/>
      <c r="AL10" s="3"/>
      <c r="AM10" s="3"/>
      <c r="AN10" s="50"/>
      <c r="AO10" s="50"/>
      <c r="AP10" s="227"/>
      <c r="AQ10" s="3"/>
      <c r="AR10" s="145"/>
      <c r="AS10" s="145"/>
      <c r="AT10" s="145"/>
      <c r="AU10" s="50"/>
      <c r="AV10" s="50"/>
      <c r="AW10" s="227"/>
      <c r="AX10" s="3"/>
      <c r="AY10" s="50"/>
      <c r="AZ10" s="50"/>
      <c r="BA10" s="227"/>
      <c r="BB10" s="3"/>
      <c r="BC10" s="50"/>
      <c r="BD10" s="50"/>
      <c r="BE10" s="3"/>
      <c r="BF10" s="3"/>
      <c r="BG10" s="145"/>
      <c r="BH10" s="145"/>
      <c r="BI10" s="145"/>
      <c r="BJ10" s="50"/>
      <c r="BK10" s="80">
        <f t="shared" si="10"/>
        <v>179556</v>
      </c>
      <c r="BL10" s="3">
        <f>SUM(D10,H10,L10,S10,W10,AA10,AH10,AL10,AP10,AW10,BA10,BE10)</f>
        <v>118440</v>
      </c>
      <c r="BM10" s="3">
        <f>SUM(E10,I10,M10,T10,X10,AB10,AI10,AM10,AQ10,AX10,BB10,BF10)</f>
        <v>142597</v>
      </c>
      <c r="BN10" s="14">
        <f>(BM10-BL10)/BL10</f>
        <v>0.20395981087470449</v>
      </c>
      <c r="BP10" s="21"/>
      <c r="BQ10" s="20"/>
    </row>
    <row r="12" spans="2:69">
      <c r="B12" s="21" t="s">
        <v>115</v>
      </c>
      <c r="BJ12" s="51"/>
      <c r="BL12" s="51"/>
      <c r="BM12" s="51"/>
      <c r="BN12" s="51"/>
    </row>
    <row r="13" spans="2:69">
      <c r="B13" s="67" t="s">
        <v>119</v>
      </c>
      <c r="C13" s="67"/>
      <c r="AJ13" s="22"/>
      <c r="AK13" s="63"/>
      <c r="AL13" s="22"/>
      <c r="AM13" s="22"/>
      <c r="AN13" s="22"/>
      <c r="AO13" s="63"/>
      <c r="AP13" s="63"/>
      <c r="AQ13" s="22"/>
      <c r="AR13" s="63"/>
      <c r="AS13" s="63"/>
      <c r="AT13" s="63"/>
      <c r="AU13" s="22"/>
      <c r="AV13" s="63"/>
      <c r="AW13" s="22"/>
      <c r="AX13" s="22"/>
      <c r="AY13" s="142"/>
      <c r="AZ13" s="142"/>
      <c r="BA13" s="142"/>
      <c r="BB13" s="142"/>
      <c r="BC13" s="142"/>
      <c r="BD13" s="142"/>
      <c r="BL13" s="142"/>
      <c r="BM13" s="142"/>
      <c r="BN13" s="51"/>
    </row>
    <row r="14" spans="2:69">
      <c r="D14" s="22"/>
      <c r="E14" s="22"/>
      <c r="F14" s="22"/>
      <c r="G14" s="63"/>
      <c r="H14" s="22"/>
      <c r="I14" s="22"/>
      <c r="AE14" s="316"/>
      <c r="AP14" s="51"/>
      <c r="AY14" s="142"/>
      <c r="AZ14" s="142"/>
      <c r="BA14" s="142"/>
      <c r="BB14" s="142"/>
      <c r="BC14" s="142"/>
      <c r="BD14" s="142"/>
      <c r="BL14" s="51"/>
      <c r="BM14" s="51"/>
      <c r="BN14" s="51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142"/>
      <c r="AZ15" s="142"/>
      <c r="BA15" s="142"/>
      <c r="BB15" s="142"/>
      <c r="BC15" s="142"/>
      <c r="BD15" s="142"/>
      <c r="BL15" s="51"/>
      <c r="BM15" s="51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142"/>
      <c r="AZ16" s="142"/>
      <c r="BA16" s="142"/>
      <c r="BB16" s="142"/>
      <c r="BC16" s="142"/>
      <c r="BD16" s="142"/>
      <c r="BL16" s="51"/>
      <c r="BM16" s="51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</row>
    <row r="28" spans="4:56">
      <c r="AC28" s="51">
        <f>-B2</f>
        <v>0</v>
      </c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3" r:id="rId1" location="statistics" xr:uid="{FD7C6D5E-21E3-4F68-895D-DDB8FAFEBFAE}"/>
  </hyperlinks>
  <pageMargins left="0.7" right="0.7" top="0.78740157499999996" bottom="0.78740157499999996" header="0.3" footer="0.3"/>
  <pageSetup paperSize="9" orientation="portrait" r:id="rId2"/>
  <ignoredErrors>
    <ignoredError sqref="C10:E10 G10:I10 K10 R10:T10 Z10:AA10 AB10 V10 W10:X10" formulaRange="1"/>
    <ignoredError sqref="F10 L10:M10" formula="1" formulaRange="1"/>
    <ignoredError sqref="J7:J9" evalError="1"/>
    <ignoredError sqref="J10 Q10 U10 Y10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BFDE-D7FA-481D-AD45-38157631C665}">
  <dimension ref="A1:BQ21"/>
  <sheetViews>
    <sheetView topLeftCell="B1" zoomScaleNormal="100" workbookViewId="0">
      <pane xSplit="1" topLeftCell="AU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51" hidden="1" customWidth="1"/>
    <col min="2" max="2" width="20.28515625" style="51" bestFit="1" customWidth="1"/>
    <col min="3" max="3" width="8.28515625" style="51" customWidth="1"/>
    <col min="4" max="4" width="8.7109375" style="51" customWidth="1"/>
    <col min="5" max="5" width="9" style="51" customWidth="1"/>
    <col min="6" max="6" width="10.42578125" style="51" customWidth="1"/>
    <col min="7" max="7" width="9.28515625" style="51" customWidth="1"/>
    <col min="8" max="8" width="9.140625" style="51" customWidth="1"/>
    <col min="9" max="9" width="9.42578125" style="51" customWidth="1"/>
    <col min="10" max="10" width="10.42578125" style="51" customWidth="1"/>
    <col min="11" max="11" width="9.140625" style="51" customWidth="1"/>
    <col min="12" max="12" width="9.7109375" style="51" customWidth="1"/>
    <col min="13" max="13" width="9.42578125" style="51" customWidth="1"/>
    <col min="14" max="14" width="8.5703125" style="51" customWidth="1"/>
    <col min="15" max="16" width="9.42578125" style="51" customWidth="1"/>
    <col min="17" max="17" width="10" style="51" customWidth="1"/>
    <col min="18" max="18" width="8.5703125" style="51" customWidth="1"/>
    <col min="19" max="19" width="10" style="51" customWidth="1"/>
    <col min="20" max="20" width="9.7109375" style="51" customWidth="1"/>
    <col min="21" max="21" width="10.140625" style="51" customWidth="1"/>
    <col min="22" max="22" width="9.42578125" style="51" customWidth="1"/>
    <col min="23" max="23" width="8.85546875" style="51" customWidth="1"/>
    <col min="24" max="24" width="10.42578125" style="51" customWidth="1"/>
    <col min="25" max="25" width="10.140625" style="51" bestFit="1" customWidth="1"/>
    <col min="26" max="26" width="10.28515625" style="51" customWidth="1"/>
    <col min="27" max="27" width="10.42578125" style="51" customWidth="1"/>
    <col min="28" max="31" width="11.42578125" style="51" customWidth="1"/>
    <col min="32" max="32" width="11.42578125" style="51"/>
    <col min="33" max="33" width="8.5703125" style="51" customWidth="1"/>
    <col min="34" max="34" width="9.28515625" style="51" customWidth="1"/>
    <col min="35" max="35" width="9.7109375" style="51" customWidth="1"/>
    <col min="36" max="36" width="11.42578125" style="51"/>
    <col min="37" max="37" width="8.85546875" style="51" customWidth="1"/>
    <col min="38" max="38" width="9.140625" style="51" customWidth="1"/>
    <col min="39" max="39" width="9.42578125" style="51" customWidth="1"/>
    <col min="40" max="40" width="11.42578125" style="51"/>
    <col min="41" max="41" width="9" style="51" customWidth="1"/>
    <col min="42" max="51" width="11.42578125" style="51"/>
    <col min="52" max="52" width="9.7109375" style="51" customWidth="1"/>
    <col min="53" max="62" width="11.42578125" style="51"/>
    <col min="63" max="63" width="11.42578125" style="316"/>
    <col min="64" max="16384" width="11.42578125" style="51"/>
  </cols>
  <sheetData>
    <row r="1" spans="2:69">
      <c r="B1" s="57" t="s">
        <v>68</v>
      </c>
      <c r="C1" s="57"/>
    </row>
    <row r="2" spans="2:69">
      <c r="B2" s="315"/>
      <c r="C2" s="68"/>
      <c r="AB2" s="142"/>
      <c r="AC2" s="142"/>
      <c r="AD2" s="142"/>
      <c r="AE2" s="142"/>
    </row>
    <row r="4" spans="2:69" ht="45" customHeight="1">
      <c r="B4" s="141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66" t="s">
        <v>29</v>
      </c>
      <c r="R4" s="365" t="s">
        <v>11</v>
      </c>
      <c r="S4" s="366"/>
      <c r="T4" s="367"/>
      <c r="U4" s="135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35" t="s">
        <v>29</v>
      </c>
      <c r="AG4" s="365" t="s">
        <v>2</v>
      </c>
      <c r="AH4" s="366"/>
      <c r="AI4" s="367"/>
      <c r="AJ4" s="135" t="s">
        <v>29</v>
      </c>
      <c r="AK4" s="365" t="s">
        <v>12</v>
      </c>
      <c r="AL4" s="366"/>
      <c r="AM4" s="367"/>
      <c r="AN4" s="135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35" t="s">
        <v>29</v>
      </c>
      <c r="AV4" s="365" t="s">
        <v>14</v>
      </c>
      <c r="AW4" s="366"/>
      <c r="AX4" s="367"/>
      <c r="AY4" s="183" t="s">
        <v>29</v>
      </c>
      <c r="AZ4" s="365" t="s">
        <v>15</v>
      </c>
      <c r="BA4" s="366"/>
      <c r="BB4" s="367"/>
      <c r="BC4" s="135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3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12">
        <v>2021</v>
      </c>
      <c r="F5" s="135" t="s">
        <v>130</v>
      </c>
      <c r="G5" s="16">
        <v>2019</v>
      </c>
      <c r="H5" s="12">
        <v>2020</v>
      </c>
      <c r="I5" s="12">
        <v>2021</v>
      </c>
      <c r="J5" s="135" t="s">
        <v>130</v>
      </c>
      <c r="K5" s="16">
        <v>2019</v>
      </c>
      <c r="L5" s="12">
        <v>2020</v>
      </c>
      <c r="M5" s="12">
        <v>2021</v>
      </c>
      <c r="N5" s="58">
        <v>2019</v>
      </c>
      <c r="O5" s="58">
        <v>2020</v>
      </c>
      <c r="P5" s="58">
        <v>2021</v>
      </c>
      <c r="Q5" s="134" t="s">
        <v>130</v>
      </c>
      <c r="R5" s="16">
        <v>2019</v>
      </c>
      <c r="S5" s="12">
        <v>2020</v>
      </c>
      <c r="T5" s="12">
        <v>2021</v>
      </c>
      <c r="U5" s="135" t="s">
        <v>130</v>
      </c>
      <c r="V5" s="16">
        <v>2019</v>
      </c>
      <c r="W5" s="12">
        <v>2020</v>
      </c>
      <c r="X5" s="12">
        <v>2021</v>
      </c>
      <c r="Y5" s="135" t="s">
        <v>130</v>
      </c>
      <c r="Z5" s="16">
        <v>2019</v>
      </c>
      <c r="AA5" s="12">
        <v>2020</v>
      </c>
      <c r="AB5" s="12">
        <v>2021</v>
      </c>
      <c r="AC5" s="16">
        <v>2019</v>
      </c>
      <c r="AD5" s="12">
        <v>2020</v>
      </c>
      <c r="AE5" s="12">
        <v>2021</v>
      </c>
      <c r="AF5" s="135" t="s">
        <v>130</v>
      </c>
      <c r="AG5" s="16">
        <v>2019</v>
      </c>
      <c r="AH5" s="12">
        <v>2020</v>
      </c>
      <c r="AI5" s="12">
        <v>2021</v>
      </c>
      <c r="AJ5" s="135" t="s">
        <v>130</v>
      </c>
      <c r="AK5" s="16">
        <v>2019</v>
      </c>
      <c r="AL5" s="12">
        <v>2020</v>
      </c>
      <c r="AM5" s="12">
        <v>2021</v>
      </c>
      <c r="AN5" s="135" t="s">
        <v>130</v>
      </c>
      <c r="AO5" s="16">
        <v>2019</v>
      </c>
      <c r="AP5" s="12">
        <v>2020</v>
      </c>
      <c r="AQ5" s="12">
        <v>2021</v>
      </c>
      <c r="AR5" s="58">
        <v>2019</v>
      </c>
      <c r="AS5" s="58">
        <v>2020</v>
      </c>
      <c r="AT5" s="58">
        <v>2021</v>
      </c>
      <c r="AU5" s="135" t="s">
        <v>130</v>
      </c>
      <c r="AV5" s="16">
        <v>2019</v>
      </c>
      <c r="AW5" s="12">
        <v>2020</v>
      </c>
      <c r="AX5" s="12">
        <v>2021</v>
      </c>
      <c r="AY5" s="135" t="s">
        <v>130</v>
      </c>
      <c r="AZ5" s="16">
        <v>2019</v>
      </c>
      <c r="BA5" s="12">
        <v>2020</v>
      </c>
      <c r="BB5" s="12">
        <v>2021</v>
      </c>
      <c r="BC5" s="135" t="s">
        <v>130</v>
      </c>
      <c r="BD5" s="16">
        <v>2019</v>
      </c>
      <c r="BE5" s="12">
        <v>2020</v>
      </c>
      <c r="BF5" s="12">
        <v>2021</v>
      </c>
      <c r="BG5" s="58">
        <v>2019</v>
      </c>
      <c r="BH5" s="58">
        <v>2020</v>
      </c>
      <c r="BI5" s="58">
        <v>2021</v>
      </c>
      <c r="BJ5" s="135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143">
        <v>35062</v>
      </c>
      <c r="D6" s="185">
        <v>35143</v>
      </c>
      <c r="E6" s="143">
        <v>22154</v>
      </c>
      <c r="F6" s="198">
        <f>(E6-D6)/D6</f>
        <v>-0.36960418860085936</v>
      </c>
      <c r="G6" s="143">
        <v>37687</v>
      </c>
      <c r="H6" s="143">
        <v>31681</v>
      </c>
      <c r="I6" s="143">
        <v>24817</v>
      </c>
      <c r="J6" s="206">
        <f>(I6-H6)/H6</f>
        <v>-0.21665982765695527</v>
      </c>
      <c r="K6" s="143">
        <v>46998</v>
      </c>
      <c r="L6" s="143">
        <v>26454</v>
      </c>
      <c r="M6" s="216">
        <v>31968</v>
      </c>
      <c r="N6" s="53">
        <f>SUM(C6,G6,K6)</f>
        <v>119747</v>
      </c>
      <c r="O6" s="53">
        <f>SUM(D6,H6,L6)</f>
        <v>93278</v>
      </c>
      <c r="P6" s="53">
        <f>SUM(E6,I6,M6)</f>
        <v>78939</v>
      </c>
      <c r="Q6" s="222">
        <f>(M6-L6)/L6</f>
        <v>0.20843728736674982</v>
      </c>
      <c r="R6" s="143">
        <v>41443</v>
      </c>
      <c r="S6" s="143">
        <v>11123</v>
      </c>
      <c r="T6" s="143">
        <v>22530</v>
      </c>
      <c r="U6" s="362">
        <f>(T6-S6)/S6</f>
        <v>1.0255326800323654</v>
      </c>
      <c r="V6" s="143">
        <v>39705</v>
      </c>
      <c r="W6" s="143">
        <v>14815</v>
      </c>
      <c r="X6" s="143">
        <v>20847</v>
      </c>
      <c r="Y6" s="362">
        <f>(X6-W6)/W6</f>
        <v>0.40715491056361797</v>
      </c>
      <c r="Z6" s="143">
        <v>41805</v>
      </c>
      <c r="AA6" s="143">
        <v>25017</v>
      </c>
      <c r="AB6" s="143">
        <v>28108</v>
      </c>
      <c r="AC6" s="53">
        <f>SUM(R6,V6,Z6)</f>
        <v>122953</v>
      </c>
      <c r="AD6" s="53">
        <f t="shared" ref="AD6:AE8" si="0">SUM(S6,W6,AA6)</f>
        <v>50955</v>
      </c>
      <c r="AE6" s="53">
        <f t="shared" si="0"/>
        <v>71485</v>
      </c>
      <c r="AF6" s="362">
        <f>(AB6-AA6)/AA6</f>
        <v>0.12355598193228605</v>
      </c>
      <c r="AG6" s="19"/>
      <c r="AH6" s="143"/>
      <c r="AI6" s="147"/>
      <c r="AJ6" s="146"/>
      <c r="AK6" s="19"/>
      <c r="AL6" s="143"/>
      <c r="AM6" s="147"/>
      <c r="AN6" s="146"/>
      <c r="AO6" s="19"/>
      <c r="AP6" s="143"/>
      <c r="AQ6" s="147"/>
      <c r="AR6" s="242"/>
      <c r="AS6" s="242"/>
      <c r="AT6" s="242"/>
      <c r="AU6" s="146"/>
      <c r="AV6" s="19"/>
      <c r="AW6" s="143"/>
      <c r="AX6" s="147"/>
      <c r="AY6" s="146"/>
      <c r="AZ6" s="19"/>
      <c r="BA6" s="143"/>
      <c r="BB6" s="147"/>
      <c r="BC6" s="146"/>
      <c r="BD6" s="19"/>
      <c r="BE6" s="4"/>
      <c r="BF6" s="143"/>
      <c r="BG6" s="53"/>
      <c r="BH6" s="53"/>
      <c r="BI6" s="53"/>
      <c r="BJ6" s="146"/>
      <c r="BK6" s="3">
        <f>SUM(C6,G6,K6,R6,V6,Z6,AG6,AK6,AO6,AV6,AZ6,BD6)</f>
        <v>242700</v>
      </c>
      <c r="BL6" s="3">
        <f>SUM(D6,H6,L6,S6,W6,AA6,AH6,AL6,AP6,AW6,BA6,BE6)</f>
        <v>144233</v>
      </c>
      <c r="BM6" s="3">
        <f>SUM(E6,I6,M6,T6,X6,AB6,AI6,AM6,AQ6,AX6,BB6,BF6)</f>
        <v>150424</v>
      </c>
      <c r="BN6" s="13">
        <f>(BM6-BL6)/BL6</f>
        <v>4.2923602781610309E-2</v>
      </c>
    </row>
    <row r="7" spans="2:69" s="68" customFormat="1" ht="30">
      <c r="B7" s="250" t="s">
        <v>109</v>
      </c>
      <c r="C7" s="4">
        <v>42999</v>
      </c>
      <c r="D7" s="186">
        <v>36545</v>
      </c>
      <c r="E7" s="4">
        <v>33054</v>
      </c>
      <c r="F7" s="202">
        <f>(E7-D7)/D7</f>
        <v>-9.5526063757011906E-2</v>
      </c>
      <c r="G7" s="4">
        <v>44637</v>
      </c>
      <c r="H7" s="4">
        <v>36590</v>
      </c>
      <c r="I7" s="4">
        <v>34143</v>
      </c>
      <c r="J7" s="209">
        <f t="shared" ref="J7:J8" si="1">(I7-H7)/H7</f>
        <v>-6.6876195681880302E-2</v>
      </c>
      <c r="K7" s="4">
        <v>56166</v>
      </c>
      <c r="L7" s="4">
        <v>33651</v>
      </c>
      <c r="M7" s="217">
        <v>42327</v>
      </c>
      <c r="N7" s="55">
        <f t="shared" ref="N7:N8" si="2">SUM(C7,G7,K7)</f>
        <v>143802</v>
      </c>
      <c r="O7" s="55">
        <f t="shared" ref="O7:O8" si="3">SUM(D7,H7,L7)</f>
        <v>106786</v>
      </c>
      <c r="P7" s="55">
        <f t="shared" ref="P7:P8" si="4">SUM(E7,I7,M7)</f>
        <v>109524</v>
      </c>
      <c r="Q7" s="226">
        <f t="shared" ref="Q7:Q8" si="5">(M7-L7)/L7</f>
        <v>0.25782294731211552</v>
      </c>
      <c r="R7" s="4">
        <v>44633</v>
      </c>
      <c r="S7" s="4">
        <v>18986</v>
      </c>
      <c r="T7" s="114">
        <v>35602</v>
      </c>
      <c r="U7" s="362">
        <f t="shared" ref="U7:U8" si="6">(T7-S7)/S7</f>
        <v>0.87517117876329931</v>
      </c>
      <c r="V7" s="4">
        <v>48392</v>
      </c>
      <c r="W7" s="4">
        <v>25603</v>
      </c>
      <c r="X7" s="4">
        <v>35101</v>
      </c>
      <c r="Y7" s="362">
        <f t="shared" ref="Y7:Y8" si="7">(X7-W7)/W7</f>
        <v>0.37097215170097253</v>
      </c>
      <c r="Z7" s="4">
        <v>44243</v>
      </c>
      <c r="AA7" s="4">
        <v>33032</v>
      </c>
      <c r="AB7" s="4">
        <v>36866</v>
      </c>
      <c r="AC7" s="55">
        <f t="shared" ref="AC7:AC8" si="8">SUM(R7,V7,Z7)</f>
        <v>137268</v>
      </c>
      <c r="AD7" s="55">
        <f t="shared" si="0"/>
        <v>77621</v>
      </c>
      <c r="AE7" s="55">
        <f t="shared" si="0"/>
        <v>107569</v>
      </c>
      <c r="AF7" s="362">
        <f t="shared" ref="AF7:AF8" si="9">(AB7-AA7)/AA7</f>
        <v>0.11606926616614192</v>
      </c>
      <c r="AG7" s="194"/>
      <c r="AH7" s="4"/>
      <c r="AI7" s="149"/>
      <c r="AJ7" s="148"/>
      <c r="AK7" s="194"/>
      <c r="AL7" s="4"/>
      <c r="AM7" s="149"/>
      <c r="AN7" s="148"/>
      <c r="AO7" s="194"/>
      <c r="AP7" s="4"/>
      <c r="AQ7" s="149"/>
      <c r="AR7" s="243"/>
      <c r="AS7" s="243"/>
      <c r="AT7" s="243"/>
      <c r="AU7" s="148"/>
      <c r="AV7" s="194"/>
      <c r="AW7" s="4"/>
      <c r="AX7" s="149"/>
      <c r="AY7" s="148"/>
      <c r="AZ7" s="194"/>
      <c r="BA7" s="4"/>
      <c r="BB7" s="149"/>
      <c r="BC7" s="148"/>
      <c r="BD7" s="194"/>
      <c r="BE7" s="4"/>
      <c r="BF7" s="4"/>
      <c r="BG7" s="55"/>
      <c r="BH7" s="55"/>
      <c r="BI7" s="55"/>
      <c r="BJ7" s="148"/>
      <c r="BK7" s="361">
        <f t="shared" ref="BK7:BK8" si="10">SUM(C7,G7,K7,R7,V7,Z7,AG7,AK7,AO7,AV7,AZ7,BD7)</f>
        <v>281070</v>
      </c>
      <c r="BL7" s="361">
        <f t="shared" ref="BL7:BL8" si="11">SUM(D7,H7,L7,S7,W7,AA7,AH7,AL7,AP7,AW7,BA7,BE7)</f>
        <v>184407</v>
      </c>
      <c r="BM7" s="361">
        <f t="shared" ref="BM7:BM8" si="12">SUM(E7,I7,M7,T7,X7,AB7,AI7,AM7,AQ7,AX7,BB7,BF7)</f>
        <v>217093</v>
      </c>
      <c r="BN7" s="150">
        <f>(BM7-BL7)/BL7</f>
        <v>0.17724923674263993</v>
      </c>
    </row>
    <row r="8" spans="2:69" s="57" customFormat="1">
      <c r="B8" s="249" t="s">
        <v>7</v>
      </c>
      <c r="C8" s="3">
        <f>SUM(C6:C7)</f>
        <v>78061</v>
      </c>
      <c r="D8" s="3">
        <f>SUM(D6:D7)</f>
        <v>71688</v>
      </c>
      <c r="E8" s="3">
        <f>SUM(E6:E7)</f>
        <v>55208</v>
      </c>
      <c r="F8" s="165">
        <f>(E8-D8)/D8</f>
        <v>-0.22988505747126436</v>
      </c>
      <c r="G8" s="303">
        <f>SUM(G6:G7)</f>
        <v>82324</v>
      </c>
      <c r="H8" s="303">
        <f>SUM(H6:H7)</f>
        <v>68271</v>
      </c>
      <c r="I8" s="303">
        <f>SUM(I6:I7)</f>
        <v>58960</v>
      </c>
      <c r="J8" s="207">
        <f t="shared" si="1"/>
        <v>-0.13638294444200319</v>
      </c>
      <c r="K8" s="303">
        <f>SUM(K6:K7)</f>
        <v>103164</v>
      </c>
      <c r="L8" s="303">
        <f>SUM(L6:L7)</f>
        <v>60105</v>
      </c>
      <c r="M8" s="303">
        <f>SUM(M6:M7)</f>
        <v>74295</v>
      </c>
      <c r="N8" s="3">
        <f t="shared" si="2"/>
        <v>263549</v>
      </c>
      <c r="O8" s="3">
        <f t="shared" si="3"/>
        <v>200064</v>
      </c>
      <c r="P8" s="3">
        <f t="shared" si="4"/>
        <v>188463</v>
      </c>
      <c r="Q8" s="223">
        <f t="shared" si="5"/>
        <v>0.23608684801597205</v>
      </c>
      <c r="R8" s="361">
        <f>SUM(R6:R7)</f>
        <v>86076</v>
      </c>
      <c r="S8" s="361">
        <f>SUM(S6:S7)</f>
        <v>30109</v>
      </c>
      <c r="T8" s="361">
        <f>SUM(T6:T7)</f>
        <v>58132</v>
      </c>
      <c r="U8" s="363">
        <f t="shared" si="6"/>
        <v>0.93071838985021094</v>
      </c>
      <c r="V8" s="3">
        <f>SUM(V6:V7)</f>
        <v>88097</v>
      </c>
      <c r="W8" s="3">
        <f t="shared" ref="W8:X8" si="13">SUM(W6:W7)</f>
        <v>40418</v>
      </c>
      <c r="X8" s="3">
        <f t="shared" si="13"/>
        <v>55948</v>
      </c>
      <c r="Y8" s="363">
        <f t="shared" si="7"/>
        <v>0.3842347468949478</v>
      </c>
      <c r="Z8" s="3">
        <f>SUM(Z6:Z7)</f>
        <v>86048</v>
      </c>
      <c r="AA8" s="3">
        <f>SUM(AA6:AA7)</f>
        <v>58049</v>
      </c>
      <c r="AB8" s="3">
        <f>SUM(AB6:AB7)</f>
        <v>64974</v>
      </c>
      <c r="AC8" s="145">
        <f t="shared" si="8"/>
        <v>260221</v>
      </c>
      <c r="AD8" s="145">
        <f t="shared" si="0"/>
        <v>128576</v>
      </c>
      <c r="AE8" s="145">
        <f t="shared" si="0"/>
        <v>179054</v>
      </c>
      <c r="AF8" s="363">
        <f t="shared" si="9"/>
        <v>0.11929576736894693</v>
      </c>
      <c r="AG8" s="61"/>
      <c r="AH8" s="3"/>
      <c r="AI8" s="3"/>
      <c r="AJ8" s="151"/>
      <c r="AK8" s="61"/>
      <c r="AL8" s="3"/>
      <c r="AM8" s="3"/>
      <c r="AN8" s="151"/>
      <c r="AO8" s="61"/>
      <c r="AP8" s="3"/>
      <c r="AQ8" s="3"/>
      <c r="AR8" s="145"/>
      <c r="AS8" s="145"/>
      <c r="AT8" s="145"/>
      <c r="AU8" s="151"/>
      <c r="AV8" s="61"/>
      <c r="AW8" s="3"/>
      <c r="AX8" s="3"/>
      <c r="AY8" s="151"/>
      <c r="AZ8" s="61"/>
      <c r="BA8" s="3"/>
      <c r="BB8" s="3"/>
      <c r="BC8" s="151"/>
      <c r="BD8" s="61"/>
      <c r="BE8" s="3"/>
      <c r="BF8" s="3"/>
      <c r="BG8" s="145"/>
      <c r="BH8" s="145"/>
      <c r="BI8" s="145"/>
      <c r="BJ8" s="151"/>
      <c r="BK8" s="3">
        <f t="shared" si="10"/>
        <v>523770</v>
      </c>
      <c r="BL8" s="3">
        <f t="shared" si="11"/>
        <v>328640</v>
      </c>
      <c r="BM8" s="3">
        <f t="shared" si="12"/>
        <v>367517</v>
      </c>
      <c r="BN8" s="14">
        <f>(BM8-BL8)/BL8</f>
        <v>0.11829661635832522</v>
      </c>
      <c r="BP8" s="51"/>
      <c r="BQ8" s="62"/>
    </row>
    <row r="9" spans="2:69"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4"/>
      <c r="O9" s="44"/>
      <c r="P9" s="44"/>
      <c r="Q9" s="45"/>
      <c r="AO9" s="142"/>
      <c r="AP9" s="142"/>
      <c r="AQ9" s="142"/>
      <c r="AV9" s="142"/>
      <c r="AW9" s="142"/>
      <c r="AX9" s="142"/>
      <c r="AY9" s="142"/>
      <c r="AZ9" s="142"/>
      <c r="BA9" s="142"/>
      <c r="BB9" s="142"/>
      <c r="BJ9" s="316"/>
      <c r="BL9" s="316"/>
      <c r="BM9" s="316"/>
    </row>
    <row r="10" spans="2:69">
      <c r="B10" s="51" t="s">
        <v>69</v>
      </c>
      <c r="C10" s="45"/>
      <c r="D10" s="304" t="s">
        <v>103</v>
      </c>
      <c r="E10" s="45"/>
      <c r="F10" s="45"/>
      <c r="G10" s="45"/>
      <c r="H10" s="45"/>
      <c r="I10" s="45"/>
      <c r="J10" s="45"/>
      <c r="K10" s="45"/>
      <c r="L10" s="45"/>
      <c r="M10" s="45"/>
      <c r="N10" s="44"/>
      <c r="O10" s="44"/>
      <c r="P10" s="44"/>
      <c r="Q10" s="45"/>
      <c r="AL10" s="142"/>
      <c r="AM10" s="170"/>
      <c r="AO10" s="142"/>
      <c r="AP10" s="142"/>
      <c r="AQ10" s="142"/>
      <c r="AR10" s="170"/>
      <c r="AS10" s="170"/>
      <c r="AT10" s="170"/>
      <c r="AV10" s="142"/>
      <c r="AW10" s="142"/>
      <c r="AX10" s="142"/>
      <c r="AY10" s="142"/>
      <c r="AZ10" s="142"/>
      <c r="BA10" s="142"/>
      <c r="BB10" s="142"/>
      <c r="BE10" s="142"/>
      <c r="BF10" s="142"/>
      <c r="BG10" s="142"/>
      <c r="BH10" s="142"/>
      <c r="BI10" s="142"/>
      <c r="BJ10" s="316"/>
      <c r="BL10" s="316"/>
      <c r="BM10" s="316"/>
    </row>
    <row r="11" spans="2:69">
      <c r="C11" s="45"/>
      <c r="D11" s="44"/>
      <c r="E11" s="44"/>
      <c r="F11" s="45"/>
      <c r="G11" s="45"/>
      <c r="H11" s="44"/>
      <c r="I11" s="44"/>
      <c r="J11" s="45"/>
      <c r="K11" s="45"/>
      <c r="L11" s="44"/>
      <c r="M11" s="44"/>
      <c r="N11" s="44"/>
      <c r="O11" s="44"/>
      <c r="P11" s="44"/>
      <c r="Q11" s="45"/>
      <c r="S11" s="142"/>
      <c r="T11" s="142"/>
      <c r="W11" s="142"/>
      <c r="X11" s="142"/>
      <c r="AA11" s="142"/>
      <c r="AB11" s="142"/>
      <c r="AC11" s="142"/>
      <c r="AD11" s="142"/>
      <c r="AE11" s="142"/>
      <c r="AH11" s="142"/>
      <c r="AI11" s="170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</row>
    <row r="12" spans="2:69" ht="14.25" customHeight="1"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</row>
    <row r="13" spans="2:69"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M13" s="142"/>
    </row>
    <row r="14" spans="2:69"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</row>
    <row r="15" spans="2:69"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</row>
    <row r="16" spans="2:69"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</row>
    <row r="17" spans="2:56"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</row>
    <row r="18" spans="2:56"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</row>
    <row r="19" spans="2:56"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296"/>
    </row>
    <row r="20" spans="2:56"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R20" s="316"/>
      <c r="S20" s="31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</row>
    <row r="21" spans="2:56"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D10" r:id="rId1" xr:uid="{960B2263-1B77-4D58-995E-DCC88FD38E66}"/>
  </hyperlinks>
  <pageMargins left="0.7" right="0.7" top="0.78740157499999996" bottom="0.78740157499999996" header="0.3" footer="0.3"/>
  <pageSetup paperSize="9" orientation="portrait" r:id="rId2"/>
  <ignoredErrors>
    <ignoredError sqref="C8:E8 G8:I8 K8:M8 R8:T8 V8:W8 X8 Z8:AB8" formulaRange="1"/>
    <ignoredError sqref="F8" formula="1" formulaRange="1"/>
    <ignoredError sqref="J8 U8 Y8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AF68-5461-41B0-BDDC-6F0F8E526ED9}">
  <dimension ref="A1:BQ35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9.140625" style="21" customWidth="1"/>
    <col min="5" max="5" width="9.5703125" style="21" customWidth="1"/>
    <col min="6" max="6" width="11.5703125" style="21" customWidth="1"/>
    <col min="7" max="7" width="9.7109375" style="51" customWidth="1"/>
    <col min="8" max="8" width="9.28515625" style="21" customWidth="1"/>
    <col min="9" max="9" width="9.42578125" style="21" customWidth="1"/>
    <col min="10" max="10" width="10.85546875" style="21" customWidth="1"/>
    <col min="11" max="11" width="8.85546875" style="51" customWidth="1"/>
    <col min="12" max="12" width="9" style="21" customWidth="1"/>
    <col min="13" max="13" width="10.28515625" style="21" customWidth="1"/>
    <col min="14" max="14" width="8.5703125" style="51" customWidth="1"/>
    <col min="15" max="15" width="7.5703125" style="51" customWidth="1"/>
    <col min="16" max="16" width="9.42578125" style="51" customWidth="1"/>
    <col min="17" max="17" width="10" style="21" customWidth="1"/>
    <col min="18" max="18" width="8.5703125" style="51" customWidth="1"/>
    <col min="19" max="19" width="9.85546875" style="21" customWidth="1"/>
    <col min="20" max="20" width="11.140625" style="21" customWidth="1"/>
    <col min="21" max="21" width="10.5703125" style="21" customWidth="1"/>
    <col min="22" max="22" width="8.5703125" style="51" customWidth="1"/>
    <col min="23" max="23" width="9.42578125" style="21" customWidth="1"/>
    <col min="24" max="24" width="9.5703125" style="21" customWidth="1"/>
    <col min="25" max="25" width="9.85546875" style="21" bestFit="1" customWidth="1"/>
    <col min="26" max="26" width="8.7109375" style="51" customWidth="1"/>
    <col min="27" max="27" width="9.42578125" style="21" customWidth="1"/>
    <col min="28" max="28" width="10" style="21" customWidth="1"/>
    <col min="29" max="29" width="8.42578125" style="51" customWidth="1"/>
    <col min="30" max="30" width="9.28515625" style="51" customWidth="1"/>
    <col min="31" max="31" width="9.140625" style="51" customWidth="1"/>
    <col min="32" max="32" width="11.140625" style="21" customWidth="1"/>
    <col min="33" max="33" width="8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41</v>
      </c>
      <c r="C1" s="57"/>
    </row>
    <row r="2" spans="2:69">
      <c r="AB2" s="23"/>
      <c r="AC2" s="142"/>
      <c r="AD2" s="142"/>
      <c r="AE2" s="142"/>
    </row>
    <row r="4" spans="2:69" ht="45" customHeight="1">
      <c r="B4" s="17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2">
        <v>2020</v>
      </c>
      <c r="BM5" s="12">
        <v>2021</v>
      </c>
      <c r="BN5" s="369"/>
    </row>
    <row r="6" spans="2:69">
      <c r="B6" s="248" t="s">
        <v>6</v>
      </c>
      <c r="C6" s="271">
        <v>10979</v>
      </c>
      <c r="D6" s="254">
        <v>22016</v>
      </c>
      <c r="E6" s="5">
        <v>35358</v>
      </c>
      <c r="F6" s="198">
        <f>(E6-D6)/D6</f>
        <v>0.60601380813953487</v>
      </c>
      <c r="G6" s="280">
        <v>19205</v>
      </c>
      <c r="H6" s="285">
        <v>37727</v>
      </c>
      <c r="I6" s="7">
        <v>44749</v>
      </c>
      <c r="J6" s="198">
        <f>(I6-H6)/H6</f>
        <v>0.18612664669865084</v>
      </c>
      <c r="K6" s="280">
        <v>38628</v>
      </c>
      <c r="L6" s="203">
        <v>39887</v>
      </c>
      <c r="M6" s="212">
        <v>76357</v>
      </c>
      <c r="N6" s="229">
        <f>SUM(C6,G6,K6)</f>
        <v>68812</v>
      </c>
      <c r="O6" s="229">
        <f>SUM(D6,H6,L6)</f>
        <v>99630</v>
      </c>
      <c r="P6" s="229">
        <f>SUM(E6,I6,M6)</f>
        <v>156464</v>
      </c>
      <c r="Q6" s="222">
        <f>(M6-L6)/L6</f>
        <v>0.91433299069872387</v>
      </c>
      <c r="R6" s="143">
        <v>24416</v>
      </c>
      <c r="S6" s="2">
        <v>21825</v>
      </c>
      <c r="T6" s="2">
        <v>48375</v>
      </c>
      <c r="U6" s="49">
        <f>(T6-S6)/S6</f>
        <v>1.2164948453608246</v>
      </c>
      <c r="V6" s="143">
        <v>27126</v>
      </c>
      <c r="W6" s="2">
        <v>25073</v>
      </c>
      <c r="X6" s="2">
        <v>43138</v>
      </c>
      <c r="Y6" s="49">
        <f>(X6-W6)/W6</f>
        <v>0.72049615123838395</v>
      </c>
      <c r="Z6" s="143">
        <v>36024</v>
      </c>
      <c r="AA6" s="2">
        <v>57067</v>
      </c>
      <c r="AB6" s="53">
        <v>62348</v>
      </c>
      <c r="AC6" s="53">
        <f>SUM(R6,V6,Z6)</f>
        <v>87566</v>
      </c>
      <c r="AD6" s="53">
        <f t="shared" ref="AD6:AE10" si="0">SUM(S6,W6,AA6)</f>
        <v>103965</v>
      </c>
      <c r="AE6" s="53">
        <f t="shared" si="0"/>
        <v>153861</v>
      </c>
      <c r="AF6" s="49">
        <f>(AB6-AA6)/AA6</f>
        <v>9.2540347311055426E-2</v>
      </c>
      <c r="AG6" s="49"/>
      <c r="AH6" s="2"/>
      <c r="AI6" s="53"/>
      <c r="AJ6" s="49"/>
      <c r="AK6" s="49"/>
      <c r="AL6" s="2"/>
      <c r="AM6" s="53"/>
      <c r="AN6" s="49"/>
      <c r="AO6" s="49"/>
      <c r="AP6" s="2"/>
      <c r="AQ6" s="53"/>
      <c r="AR6" s="53"/>
      <c r="AS6" s="53"/>
      <c r="AT6" s="53"/>
      <c r="AU6" s="49"/>
      <c r="AV6" s="49"/>
      <c r="AW6" s="2"/>
      <c r="AX6" s="64"/>
      <c r="AY6" s="49"/>
      <c r="AZ6" s="49"/>
      <c r="BA6" s="2"/>
      <c r="BB6" s="53"/>
      <c r="BC6" s="49"/>
      <c r="BD6" s="49"/>
      <c r="BE6" s="4"/>
      <c r="BF6" s="53"/>
      <c r="BG6" s="53"/>
      <c r="BH6" s="53"/>
      <c r="BI6" s="53"/>
      <c r="BJ6" s="49"/>
      <c r="BK6" s="3">
        <f>SUM(C6,G6,K6,R6,V6,Z6,AG6,AK6,AO6,AV6,AZ6,BD6)</f>
        <v>156378</v>
      </c>
      <c r="BL6" s="3">
        <f>SUM(D6,H6,L6,S6,W6,AA6,AH6,AL6,AP6,AW6,BA6,BE6)</f>
        <v>203595</v>
      </c>
      <c r="BM6" s="3">
        <f>SUM(E6,I6,M6,T6,X6,AB6,AI6,AM6,AQ6,AX6,BB6,BF6)</f>
        <v>310325</v>
      </c>
      <c r="BN6" s="13">
        <f>(BM6-BL6)/BL6</f>
        <v>0.52422701932758664</v>
      </c>
    </row>
    <row r="7" spans="2:69">
      <c r="B7" s="248" t="s">
        <v>3</v>
      </c>
      <c r="C7" s="272">
        <v>3394</v>
      </c>
      <c r="D7" s="190">
        <v>5257</v>
      </c>
      <c r="E7" s="6">
        <v>8370</v>
      </c>
      <c r="F7" s="198">
        <f>(E7-D7)/D7</f>
        <v>0.59216283051169871</v>
      </c>
      <c r="G7" s="280">
        <v>5670</v>
      </c>
      <c r="H7" s="285">
        <v>9395</v>
      </c>
      <c r="I7" s="8">
        <v>13755</v>
      </c>
      <c r="J7" s="198">
        <f t="shared" ref="J7:J10" si="1">(I7-H7)/H7</f>
        <v>0.46407663650878128</v>
      </c>
      <c r="K7" s="280">
        <v>10593</v>
      </c>
      <c r="L7" s="203">
        <v>10121</v>
      </c>
      <c r="M7" s="213">
        <v>20071</v>
      </c>
      <c r="N7" s="229">
        <f t="shared" ref="N7:N9" si="2">SUM(C7,G7,K7)</f>
        <v>19657</v>
      </c>
      <c r="O7" s="229">
        <f t="shared" ref="O7:O9" si="3">SUM(D7,H7,L7)</f>
        <v>24773</v>
      </c>
      <c r="P7" s="229">
        <f t="shared" ref="P7:P9" si="4">SUM(E7,I7,M7)</f>
        <v>42196</v>
      </c>
      <c r="Q7" s="222">
        <f t="shared" ref="Q7:Q10" si="5">(M7-L7)/L7</f>
        <v>0.98310443632052169</v>
      </c>
      <c r="R7" s="143">
        <v>6555</v>
      </c>
      <c r="S7" s="2">
        <v>4632</v>
      </c>
      <c r="T7" s="23">
        <v>13113</v>
      </c>
      <c r="U7" s="49">
        <f t="shared" ref="U7:U10" si="6">(T7-S7)/S7</f>
        <v>1.830958549222798</v>
      </c>
      <c r="V7" s="143">
        <v>5890</v>
      </c>
      <c r="W7" s="2">
        <v>7162</v>
      </c>
      <c r="X7" s="2">
        <v>11596</v>
      </c>
      <c r="Y7" s="49">
        <f t="shared" ref="Y7:Y10" si="7">(X7-W7)/W7</f>
        <v>0.61910080982965654</v>
      </c>
      <c r="Z7" s="143">
        <v>6664</v>
      </c>
      <c r="AA7" s="2">
        <v>13906</v>
      </c>
      <c r="AB7" s="53">
        <v>17471</v>
      </c>
      <c r="AC7" s="53">
        <f t="shared" ref="AC7:AC10" si="8">SUM(R7,V7,Z7)</f>
        <v>19109</v>
      </c>
      <c r="AD7" s="53">
        <f t="shared" si="0"/>
        <v>25700</v>
      </c>
      <c r="AE7" s="53">
        <f t="shared" si="0"/>
        <v>42180</v>
      </c>
      <c r="AF7" s="49">
        <f t="shared" ref="AF7:AF10" si="9">(AB7-AA7)/AA7</f>
        <v>0.2563641593556738</v>
      </c>
      <c r="AG7" s="49"/>
      <c r="AH7" s="2"/>
      <c r="AI7" s="53"/>
      <c r="AJ7" s="49"/>
      <c r="AK7" s="49"/>
      <c r="AL7" s="2"/>
      <c r="AM7" s="53"/>
      <c r="AN7" s="49"/>
      <c r="AO7" s="49"/>
      <c r="AP7" s="2"/>
      <c r="AQ7" s="53"/>
      <c r="AR7" s="53"/>
      <c r="AS7" s="53"/>
      <c r="AT7" s="53"/>
      <c r="AU7" s="49"/>
      <c r="AV7" s="49"/>
      <c r="AW7" s="2"/>
      <c r="AX7" s="53"/>
      <c r="AY7" s="49"/>
      <c r="AZ7" s="49"/>
      <c r="BA7" s="2"/>
      <c r="BB7" s="53"/>
      <c r="BC7" s="49"/>
      <c r="BD7" s="49"/>
      <c r="BE7" s="4"/>
      <c r="BF7" s="53"/>
      <c r="BG7" s="53"/>
      <c r="BH7" s="53"/>
      <c r="BI7" s="53"/>
      <c r="BJ7" s="49"/>
      <c r="BK7" s="3">
        <f t="shared" ref="BK7:BK10" si="10">SUM(C7,G7,K7,R7,V7,Z7,AG7,AK7,AO7,AV7,AZ7,BD7)</f>
        <v>38766</v>
      </c>
      <c r="BL7" s="3">
        <f t="shared" ref="BL7:BL9" si="11">SUM(D7,H7,L7,S7,W7,AA7,AH7,AL7,AP7,AW7,BA7,BE7)</f>
        <v>50473</v>
      </c>
      <c r="BM7" s="3">
        <f t="shared" ref="BM7:BM9" si="12">SUM(E7,I7,M7,T7,X7,AB7,AI7,AM7,AQ7,AX7,BB7,BF7)</f>
        <v>84376</v>
      </c>
      <c r="BN7" s="13">
        <f>(BM7-BL7)/BL7</f>
        <v>0.67170566441463753</v>
      </c>
    </row>
    <row r="8" spans="2:69">
      <c r="B8" s="248" t="s">
        <v>4</v>
      </c>
      <c r="C8" s="272">
        <v>474</v>
      </c>
      <c r="D8" s="190">
        <v>682</v>
      </c>
      <c r="E8" s="6">
        <v>1316</v>
      </c>
      <c r="F8" s="198">
        <f>(E8-D8)/D8</f>
        <v>0.9296187683284457</v>
      </c>
      <c r="G8" s="280">
        <v>579</v>
      </c>
      <c r="H8" s="285">
        <v>1475</v>
      </c>
      <c r="I8" s="8">
        <v>2633</v>
      </c>
      <c r="J8" s="198">
        <f t="shared" si="1"/>
        <v>0.78508474576271181</v>
      </c>
      <c r="K8" s="280">
        <v>1255</v>
      </c>
      <c r="L8" s="203">
        <v>1290</v>
      </c>
      <c r="M8" s="213">
        <v>3247</v>
      </c>
      <c r="N8" s="229">
        <f t="shared" si="2"/>
        <v>2308</v>
      </c>
      <c r="O8" s="229">
        <f t="shared" si="3"/>
        <v>3447</v>
      </c>
      <c r="P8" s="229">
        <f t="shared" si="4"/>
        <v>7196</v>
      </c>
      <c r="Q8" s="222">
        <f t="shared" si="5"/>
        <v>1.5170542635658915</v>
      </c>
      <c r="R8" s="143">
        <v>973</v>
      </c>
      <c r="S8" s="2">
        <v>708</v>
      </c>
      <c r="T8" s="2">
        <v>3006</v>
      </c>
      <c r="U8" s="49">
        <f t="shared" si="6"/>
        <v>3.2457627118644066</v>
      </c>
      <c r="V8" s="143">
        <v>931</v>
      </c>
      <c r="W8" s="2">
        <v>1083</v>
      </c>
      <c r="X8" s="2">
        <v>2733</v>
      </c>
      <c r="Y8" s="49">
        <f t="shared" si="7"/>
        <v>1.5235457063711912</v>
      </c>
      <c r="Z8" s="143">
        <v>1211</v>
      </c>
      <c r="AA8" s="2">
        <v>1816</v>
      </c>
      <c r="AB8" s="53">
        <v>3436</v>
      </c>
      <c r="AC8" s="53">
        <f t="shared" si="8"/>
        <v>3115</v>
      </c>
      <c r="AD8" s="53">
        <f t="shared" si="0"/>
        <v>3607</v>
      </c>
      <c r="AE8" s="53">
        <f t="shared" si="0"/>
        <v>9175</v>
      </c>
      <c r="AF8" s="49">
        <f t="shared" si="9"/>
        <v>0.89207048458149785</v>
      </c>
      <c r="AG8" s="49"/>
      <c r="AH8" s="2"/>
      <c r="AI8" s="53"/>
      <c r="AJ8" s="49"/>
      <c r="AK8" s="49"/>
      <c r="AL8" s="2"/>
      <c r="AM8" s="53"/>
      <c r="AN8" s="49"/>
      <c r="AO8" s="49"/>
      <c r="AP8" s="2"/>
      <c r="AQ8" s="53"/>
      <c r="AR8" s="53"/>
      <c r="AS8" s="53"/>
      <c r="AT8" s="53"/>
      <c r="AU8" s="49"/>
      <c r="AV8" s="49"/>
      <c r="AW8" s="2"/>
      <c r="AX8" s="53"/>
      <c r="AY8" s="49"/>
      <c r="AZ8" s="49"/>
      <c r="BA8" s="2"/>
      <c r="BB8" s="53"/>
      <c r="BC8" s="49"/>
      <c r="BD8" s="49"/>
      <c r="BE8" s="4"/>
      <c r="BF8" s="53"/>
      <c r="BG8" s="53"/>
      <c r="BH8" s="53"/>
      <c r="BI8" s="53"/>
      <c r="BJ8" s="49"/>
      <c r="BK8" s="3">
        <f t="shared" si="10"/>
        <v>5423</v>
      </c>
      <c r="BL8" s="3">
        <f t="shared" si="11"/>
        <v>7054</v>
      </c>
      <c r="BM8" s="3">
        <f t="shared" si="12"/>
        <v>16371</v>
      </c>
      <c r="BN8" s="13">
        <f>(BM8-BL8)/BL8</f>
        <v>1.3208108874397504</v>
      </c>
    </row>
    <row r="9" spans="2:69">
      <c r="B9" s="248" t="s">
        <v>5</v>
      </c>
      <c r="C9" s="272">
        <v>132</v>
      </c>
      <c r="D9" s="190">
        <v>168</v>
      </c>
      <c r="E9" s="6">
        <v>186</v>
      </c>
      <c r="F9" s="198">
        <f>(E9-D9)/D9</f>
        <v>0.10714285714285714</v>
      </c>
      <c r="G9" s="280">
        <v>115</v>
      </c>
      <c r="H9" s="285">
        <v>351</v>
      </c>
      <c r="I9" s="8">
        <v>188</v>
      </c>
      <c r="J9" s="198">
        <f t="shared" si="1"/>
        <v>-0.46438746438746437</v>
      </c>
      <c r="K9" s="280">
        <v>175</v>
      </c>
      <c r="L9" s="203">
        <v>256</v>
      </c>
      <c r="M9" s="213">
        <v>289</v>
      </c>
      <c r="N9" s="229">
        <f t="shared" si="2"/>
        <v>422</v>
      </c>
      <c r="O9" s="229">
        <f t="shared" si="3"/>
        <v>775</v>
      </c>
      <c r="P9" s="229">
        <f t="shared" si="4"/>
        <v>663</v>
      </c>
      <c r="Q9" s="222">
        <f t="shared" si="5"/>
        <v>0.12890625</v>
      </c>
      <c r="R9" s="143">
        <v>131</v>
      </c>
      <c r="S9" s="2">
        <v>80</v>
      </c>
      <c r="T9" s="2">
        <v>140</v>
      </c>
      <c r="U9" s="49">
        <f t="shared" si="6"/>
        <v>0.75</v>
      </c>
      <c r="V9" s="143">
        <v>203</v>
      </c>
      <c r="W9" s="2">
        <v>177</v>
      </c>
      <c r="X9" s="2">
        <v>68</v>
      </c>
      <c r="Y9" s="49">
        <f t="shared" si="7"/>
        <v>-0.61581920903954801</v>
      </c>
      <c r="Z9" s="143">
        <v>230</v>
      </c>
      <c r="AA9" s="1">
        <v>246</v>
      </c>
      <c r="AB9" s="10">
        <v>56</v>
      </c>
      <c r="AC9" s="53">
        <f t="shared" si="8"/>
        <v>564</v>
      </c>
      <c r="AD9" s="53">
        <f t="shared" si="0"/>
        <v>503</v>
      </c>
      <c r="AE9" s="53">
        <f t="shared" si="0"/>
        <v>264</v>
      </c>
      <c r="AF9" s="49">
        <f t="shared" si="9"/>
        <v>-0.77235772357723576</v>
      </c>
      <c r="AG9" s="49"/>
      <c r="AH9" s="1"/>
      <c r="AI9" s="53"/>
      <c r="AJ9" s="49"/>
      <c r="AK9" s="49"/>
      <c r="AL9" s="2"/>
      <c r="AM9" s="53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4"/>
      <c r="BF9" s="53"/>
      <c r="BG9" s="53"/>
      <c r="BH9" s="53"/>
      <c r="BI9" s="53"/>
      <c r="BJ9" s="49"/>
      <c r="BK9" s="3">
        <f t="shared" si="10"/>
        <v>986</v>
      </c>
      <c r="BL9" s="3">
        <f t="shared" si="11"/>
        <v>1278</v>
      </c>
      <c r="BM9" s="3">
        <f t="shared" si="12"/>
        <v>927</v>
      </c>
      <c r="BN9" s="13">
        <f>(BM9-BL9)/BL9</f>
        <v>-0.27464788732394368</v>
      </c>
    </row>
    <row r="10" spans="2:69" s="9" customFormat="1">
      <c r="B10" s="249" t="s">
        <v>7</v>
      </c>
      <c r="C10" s="275">
        <f>SUM(C6:C9)</f>
        <v>14979</v>
      </c>
      <c r="D10" s="187">
        <f>SUM(D6:D9)</f>
        <v>28123</v>
      </c>
      <c r="E10" s="3">
        <f>SUM(E6:E9)</f>
        <v>45230</v>
      </c>
      <c r="F10" s="50">
        <f>(E10-D10)/D10</f>
        <v>0.6082921452192156</v>
      </c>
      <c r="G10" s="3">
        <f>SUM(G6:G9)</f>
        <v>25569</v>
      </c>
      <c r="H10" s="3">
        <f>SUM(H6:H9)</f>
        <v>48948</v>
      </c>
      <c r="I10" s="3">
        <f>SUM(I6:I9)</f>
        <v>61325</v>
      </c>
      <c r="J10" s="199">
        <f t="shared" si="1"/>
        <v>0.25286017814823897</v>
      </c>
      <c r="K10" s="3">
        <f>SUM(K6:K9)</f>
        <v>50651</v>
      </c>
      <c r="L10" s="3">
        <f>SUM(L6:L9)</f>
        <v>51554</v>
      </c>
      <c r="M10" s="3">
        <f>SUM(M6:M9)</f>
        <v>99964</v>
      </c>
      <c r="N10" s="227">
        <f>SUM(N6:N9)</f>
        <v>91199</v>
      </c>
      <c r="O10" s="227">
        <f t="shared" ref="O10:P10" si="13">SUM(O6:O9)</f>
        <v>128625</v>
      </c>
      <c r="P10" s="227">
        <f t="shared" si="13"/>
        <v>206519</v>
      </c>
      <c r="Q10" s="223">
        <f t="shared" si="5"/>
        <v>0.9390154013267642</v>
      </c>
      <c r="R10" s="3">
        <f>SUM(R6:R9)</f>
        <v>32075</v>
      </c>
      <c r="S10" s="3">
        <f>SUM(S6:S9)</f>
        <v>27245</v>
      </c>
      <c r="T10" s="3">
        <f>SUM(T6:T9)</f>
        <v>64634</v>
      </c>
      <c r="U10" s="50">
        <f t="shared" si="6"/>
        <v>1.3723251972839052</v>
      </c>
      <c r="V10" s="3">
        <f>SUM(V6:V9)</f>
        <v>34150</v>
      </c>
      <c r="W10" s="3">
        <f>SUM(W6:W9)</f>
        <v>33495</v>
      </c>
      <c r="X10" s="3">
        <f>SUM(X6:X9)</f>
        <v>57535</v>
      </c>
      <c r="Y10" s="50">
        <f t="shared" si="7"/>
        <v>0.71771906254664875</v>
      </c>
      <c r="Z10" s="3">
        <f>SUM(Z6:Z9)</f>
        <v>44129</v>
      </c>
      <c r="AA10" s="3">
        <f>SUM(AA6:AA9)</f>
        <v>73035</v>
      </c>
      <c r="AB10" s="3">
        <f>SUM(AB6:AB9)</f>
        <v>83311</v>
      </c>
      <c r="AC10" s="145">
        <f t="shared" si="8"/>
        <v>110354</v>
      </c>
      <c r="AD10" s="145">
        <f t="shared" si="0"/>
        <v>133775</v>
      </c>
      <c r="AE10" s="145">
        <f t="shared" si="0"/>
        <v>205480</v>
      </c>
      <c r="AF10" s="50">
        <f t="shared" si="9"/>
        <v>0.14069966454439653</v>
      </c>
      <c r="AG10" s="50"/>
      <c r="AH10" s="3"/>
      <c r="AI10" s="3"/>
      <c r="AJ10" s="50"/>
      <c r="AK10" s="50"/>
      <c r="AL10" s="3"/>
      <c r="AM10" s="3"/>
      <c r="AN10" s="50"/>
      <c r="AO10" s="50"/>
      <c r="AP10" s="227"/>
      <c r="AQ10" s="3"/>
      <c r="AR10" s="145"/>
      <c r="AS10" s="145"/>
      <c r="AT10" s="145"/>
      <c r="AU10" s="50"/>
      <c r="AV10" s="50"/>
      <c r="AW10" s="227"/>
      <c r="AX10" s="3"/>
      <c r="AY10" s="50"/>
      <c r="AZ10" s="50"/>
      <c r="BA10" s="227"/>
      <c r="BB10" s="3"/>
      <c r="BC10" s="50"/>
      <c r="BD10" s="50"/>
      <c r="BE10" s="3"/>
      <c r="BF10" s="3"/>
      <c r="BG10" s="145"/>
      <c r="BH10" s="145"/>
      <c r="BI10" s="145"/>
      <c r="BJ10" s="50"/>
      <c r="BK10" s="3">
        <f t="shared" si="10"/>
        <v>201553</v>
      </c>
      <c r="BL10" s="3">
        <f>SUM(D10,H10,L10,S10,W10,AA10,AH10,AL10,AP10,AW10,BA10,BE10)</f>
        <v>262400</v>
      </c>
      <c r="BM10" s="3">
        <f>SUM(E10,I10,M10,T10,X10,AB10,AI10,AM10,AQ10,AX10,BB10,BF10)</f>
        <v>411999</v>
      </c>
      <c r="BN10" s="14">
        <f>(BM10-BL10)/BL10</f>
        <v>0.57011814024390239</v>
      </c>
      <c r="BP10" s="21"/>
      <c r="BQ10" s="20"/>
    </row>
    <row r="12" spans="2:69">
      <c r="B12" s="21" t="s">
        <v>22</v>
      </c>
      <c r="E12" s="142"/>
    </row>
    <row r="13" spans="2:69">
      <c r="B13" s="67" t="s">
        <v>85</v>
      </c>
      <c r="C13" s="67"/>
      <c r="AJ13" s="22"/>
      <c r="AK13" s="63"/>
      <c r="AL13" s="22"/>
      <c r="AM13" s="22"/>
      <c r="AN13" s="22"/>
      <c r="AO13" s="63"/>
      <c r="AP13" s="22"/>
      <c r="AQ13" s="22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</row>
    <row r="14" spans="2:69">
      <c r="D14" s="40"/>
      <c r="E14" s="22"/>
      <c r="F14" s="22"/>
      <c r="G14" s="63"/>
      <c r="H14" s="22"/>
      <c r="I14" s="2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</row>
    <row r="16" spans="2:69">
      <c r="D16" s="45"/>
      <c r="E16" s="45"/>
      <c r="F16" s="45"/>
      <c r="G16" s="45"/>
      <c r="H16" s="45"/>
      <c r="I16" s="45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</row>
    <row r="17" spans="4:65">
      <c r="D17" s="45"/>
      <c r="E17" s="45"/>
      <c r="F17" s="45"/>
      <c r="G17" s="45"/>
      <c r="H17" s="45"/>
      <c r="I17" s="45"/>
      <c r="J17" s="51"/>
      <c r="L17" s="51"/>
      <c r="M17" s="51"/>
      <c r="Q17" s="51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</row>
    <row r="18" spans="4:65">
      <c r="D18" s="45"/>
      <c r="E18" s="45"/>
      <c r="F18" s="45"/>
      <c r="G18" s="45"/>
      <c r="H18" s="45"/>
      <c r="I18" s="45"/>
      <c r="J18" s="51"/>
      <c r="L18" s="51"/>
      <c r="M18" s="51"/>
      <c r="Q18" s="51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</row>
    <row r="19" spans="4:65">
      <c r="D19" s="45"/>
      <c r="E19" s="45"/>
      <c r="F19" s="45"/>
      <c r="G19" s="45"/>
      <c r="H19" s="45"/>
      <c r="I19" s="45"/>
      <c r="J19" s="45"/>
      <c r="K19" s="45"/>
      <c r="L19" s="45"/>
      <c r="M19" s="298"/>
      <c r="N19" s="295"/>
      <c r="O19" s="45"/>
      <c r="P19" s="45"/>
      <c r="Q19" s="45"/>
      <c r="R19" s="29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23"/>
      <c r="AV19" s="142"/>
      <c r="AW19" s="23"/>
      <c r="AX19" s="23"/>
      <c r="AY19" s="23"/>
      <c r="AZ19" s="142"/>
      <c r="BA19" s="23"/>
      <c r="BB19" s="23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</row>
    <row r="20" spans="4:65">
      <c r="D20" s="45"/>
      <c r="E20" s="45"/>
      <c r="F20" s="45"/>
      <c r="G20" s="45"/>
      <c r="H20" s="45"/>
      <c r="I20" s="45"/>
      <c r="J20" s="51"/>
      <c r="L20" s="51"/>
      <c r="M20" s="274"/>
      <c r="N20" s="296"/>
      <c r="Q20" s="51"/>
      <c r="R20" s="296"/>
      <c r="S20" s="51"/>
      <c r="T20" s="51"/>
      <c r="U20" s="51"/>
      <c r="W20" s="51"/>
      <c r="X20" s="51"/>
      <c r="Y20" s="51"/>
      <c r="AA20" s="51"/>
      <c r="AB20" s="51"/>
      <c r="AF20" s="51"/>
      <c r="AH20" s="51"/>
      <c r="AI20" s="51"/>
      <c r="AJ20" s="51"/>
      <c r="AL20" s="51"/>
      <c r="AM20" s="51"/>
      <c r="AN20" s="51"/>
      <c r="AP20" s="45"/>
      <c r="AQ20" s="44"/>
      <c r="AR20" s="44"/>
      <c r="AS20" s="44"/>
      <c r="AT20" s="44"/>
      <c r="AU20" s="23"/>
      <c r="AV20" s="142"/>
      <c r="AW20" s="23"/>
      <c r="AX20" s="23"/>
      <c r="AY20" s="23"/>
      <c r="AZ20" s="142"/>
      <c r="BA20" s="23"/>
      <c r="BB20" s="23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</row>
    <row r="21" spans="4:65">
      <c r="D21" s="45"/>
      <c r="E21" s="45"/>
      <c r="F21" s="45"/>
      <c r="G21" s="45"/>
      <c r="H21" s="45"/>
      <c r="I21" s="45"/>
      <c r="J21" s="51"/>
      <c r="L21" s="51"/>
      <c r="M21" s="274"/>
      <c r="N21" s="296"/>
      <c r="Q21" s="51"/>
      <c r="R21" s="296"/>
      <c r="S21" s="51"/>
      <c r="T21" s="51"/>
      <c r="U21" s="51"/>
      <c r="W21" s="51"/>
      <c r="X21" s="51"/>
      <c r="Y21" s="51"/>
      <c r="AA21" s="51"/>
      <c r="AB21" s="51"/>
      <c r="AF21" s="51"/>
      <c r="AH21" s="51"/>
      <c r="AI21" s="51"/>
      <c r="AJ21" s="51"/>
      <c r="AL21" s="51"/>
      <c r="AM21" s="51"/>
      <c r="AN21" s="51"/>
      <c r="AP21" s="116"/>
      <c r="AQ21" s="45"/>
      <c r="AR21" s="45"/>
      <c r="AS21" s="45"/>
      <c r="AT21" s="45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</row>
    <row r="22" spans="4:65">
      <c r="D22" s="45"/>
      <c r="E22" s="45"/>
      <c r="F22" s="45"/>
      <c r="G22" s="45"/>
      <c r="H22" s="45"/>
      <c r="I22" s="45"/>
      <c r="J22" s="51"/>
      <c r="L22" s="51"/>
      <c r="M22" s="274"/>
      <c r="N22" s="296"/>
      <c r="Q22" s="51"/>
      <c r="R22" s="296"/>
      <c r="S22" s="51"/>
      <c r="T22" s="51"/>
      <c r="U22" s="51"/>
      <c r="W22" s="51"/>
      <c r="X22" s="51"/>
      <c r="Y22" s="51"/>
      <c r="AA22" s="51"/>
      <c r="AB22" s="51"/>
      <c r="AF22" s="51"/>
      <c r="AH22" s="51"/>
      <c r="AI22" s="51"/>
      <c r="AJ22" s="51"/>
      <c r="AL22" s="51"/>
      <c r="AM22" s="51"/>
      <c r="AN22" s="51"/>
      <c r="AP22" s="116"/>
      <c r="AQ22" s="45"/>
      <c r="AR22" s="45"/>
      <c r="AS22" s="45"/>
      <c r="AT22" s="45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</row>
    <row r="23" spans="4:65">
      <c r="D23" s="45"/>
      <c r="E23" s="45"/>
      <c r="F23" s="45"/>
      <c r="G23" s="45"/>
      <c r="H23" s="45"/>
      <c r="I23" s="45"/>
      <c r="J23" s="51"/>
      <c r="L23" s="51"/>
      <c r="M23" s="297"/>
      <c r="N23" s="296"/>
      <c r="Q23" s="51"/>
      <c r="R23" s="296"/>
      <c r="S23" s="51"/>
      <c r="T23" s="51"/>
      <c r="U23" s="51"/>
      <c r="W23" s="51"/>
      <c r="X23" s="51"/>
      <c r="Y23" s="51"/>
      <c r="AA23" s="51"/>
      <c r="AB23" s="51"/>
      <c r="AF23" s="51"/>
      <c r="AH23" s="51"/>
      <c r="AI23" s="51"/>
      <c r="AJ23" s="51"/>
      <c r="AL23" s="51"/>
      <c r="AM23" s="51"/>
      <c r="AN23" s="51"/>
      <c r="AP23" s="116"/>
      <c r="AQ23" s="45"/>
      <c r="AR23" s="45"/>
      <c r="AS23" s="45"/>
      <c r="AT23" s="45"/>
    </row>
    <row r="24" spans="4:65">
      <c r="D24" s="45"/>
      <c r="E24" s="45"/>
      <c r="F24" s="45"/>
      <c r="G24" s="45"/>
      <c r="H24" s="45"/>
      <c r="I24" s="45"/>
      <c r="J24" s="51"/>
      <c r="L24" s="51"/>
      <c r="M24" s="51"/>
      <c r="Q24" s="51"/>
      <c r="S24" s="51"/>
      <c r="T24" s="51"/>
      <c r="U24" s="51"/>
      <c r="W24" s="51"/>
      <c r="X24" s="51"/>
      <c r="Y24" s="51"/>
      <c r="AA24" s="51"/>
      <c r="AB24" s="51"/>
      <c r="AF24" s="51"/>
      <c r="AH24" s="51"/>
      <c r="AI24" s="51"/>
      <c r="AJ24" s="51"/>
      <c r="AL24" s="51"/>
      <c r="AM24" s="51"/>
      <c r="AN24" s="51"/>
      <c r="AP24" s="118"/>
      <c r="AQ24" s="45"/>
      <c r="AR24" s="45"/>
      <c r="AS24" s="45"/>
      <c r="AT24" s="45"/>
    </row>
    <row r="25" spans="4:65">
      <c r="D25" s="68"/>
      <c r="E25"/>
      <c r="F25"/>
      <c r="H25" s="51"/>
      <c r="I25" s="51"/>
      <c r="J25" s="51"/>
      <c r="L25" s="51"/>
      <c r="M25" s="51"/>
      <c r="Q25" s="51"/>
      <c r="S25" s="51"/>
      <c r="T25" s="51"/>
      <c r="U25" s="51"/>
      <c r="W25" s="51"/>
      <c r="X25" s="51"/>
      <c r="Y25" s="51"/>
      <c r="AA25" s="51"/>
      <c r="AB25" s="51"/>
      <c r="AF25" s="51"/>
      <c r="AH25" s="51"/>
      <c r="AI25" s="51"/>
      <c r="AJ25" s="51"/>
      <c r="AL25" s="51"/>
      <c r="AM25" s="51"/>
      <c r="AN25" s="51"/>
      <c r="AP25" s="118"/>
      <c r="AQ25" s="45"/>
      <c r="AR25" s="45"/>
      <c r="AS25" s="45"/>
      <c r="AT25" s="45"/>
    </row>
    <row r="26" spans="4:65">
      <c r="D26" s="51"/>
      <c r="E26" s="51"/>
      <c r="F26" s="51"/>
      <c r="H26" s="51"/>
      <c r="I26" s="51"/>
      <c r="J26" s="51"/>
      <c r="L26" s="51"/>
      <c r="M26" s="51"/>
      <c r="Q26" s="51"/>
      <c r="S26" s="51"/>
      <c r="T26" s="51"/>
      <c r="U26" s="51"/>
      <c r="W26" s="51"/>
      <c r="X26" s="51"/>
      <c r="Y26" s="51"/>
      <c r="AA26" s="51"/>
      <c r="AB26" s="51"/>
      <c r="AF26" s="51"/>
      <c r="AH26" s="51"/>
      <c r="AI26" s="51"/>
      <c r="AJ26" s="51"/>
      <c r="AL26" s="51"/>
      <c r="AM26" s="51"/>
      <c r="AN26" s="51"/>
      <c r="AP26" s="117"/>
      <c r="AQ26" s="45"/>
      <c r="AR26" s="45"/>
      <c r="AS26" s="45"/>
      <c r="AT26" s="45"/>
    </row>
    <row r="27" spans="4:65">
      <c r="D27" s="51"/>
      <c r="E27" s="51"/>
      <c r="F27" s="51"/>
      <c r="H27" s="51"/>
      <c r="I27" s="51"/>
      <c r="J27" s="51"/>
      <c r="L27" s="51"/>
      <c r="M27" s="51"/>
      <c r="Q27" s="51"/>
      <c r="S27" s="51"/>
      <c r="T27" s="51"/>
      <c r="U27" s="51"/>
      <c r="W27" s="51"/>
      <c r="X27" s="51"/>
      <c r="Y27" s="51"/>
      <c r="AA27" s="51"/>
      <c r="AB27" s="51"/>
      <c r="AF27" s="51"/>
      <c r="AH27" s="51"/>
      <c r="AI27" s="51"/>
      <c r="AJ27" s="51"/>
      <c r="AL27" s="51"/>
      <c r="AM27" s="51"/>
      <c r="AN27" s="51"/>
      <c r="AP27" s="117"/>
      <c r="AQ27" s="45"/>
      <c r="AR27" s="45"/>
      <c r="AS27" s="45"/>
      <c r="AT27" s="45"/>
    </row>
    <row r="28" spans="4:65">
      <c r="D28" s="51"/>
      <c r="E28" s="51"/>
      <c r="F28" s="51"/>
      <c r="H28" s="51"/>
      <c r="I28" s="51"/>
      <c r="J28" s="51"/>
      <c r="L28" s="51"/>
      <c r="M28" s="51"/>
      <c r="Q28" s="51"/>
      <c r="S28" s="51"/>
      <c r="T28" s="51"/>
      <c r="U28" s="51"/>
      <c r="W28" s="51"/>
      <c r="X28" s="51"/>
      <c r="Y28" s="51"/>
      <c r="AA28" s="51"/>
      <c r="AB28" s="51"/>
      <c r="AF28" s="51"/>
      <c r="AH28" s="51"/>
      <c r="AI28" s="51"/>
      <c r="AJ28" s="51"/>
      <c r="AL28" s="51"/>
      <c r="AM28" s="51"/>
      <c r="AN28" s="51"/>
      <c r="AP28" s="117"/>
      <c r="AQ28" s="45"/>
      <c r="AR28" s="45"/>
      <c r="AS28" s="45"/>
      <c r="AT28" s="45"/>
    </row>
    <row r="29" spans="4:65">
      <c r="D29" s="51"/>
      <c r="E29" s="51"/>
      <c r="F29" s="51"/>
      <c r="H29" s="51"/>
      <c r="I29" s="51"/>
      <c r="J29" s="51"/>
      <c r="L29" s="51"/>
      <c r="M29" s="51"/>
      <c r="Q29" s="51"/>
      <c r="S29" s="51"/>
      <c r="T29" s="51"/>
      <c r="U29" s="51"/>
      <c r="W29" s="51"/>
      <c r="X29" s="51"/>
      <c r="Y29" s="51"/>
      <c r="AA29" s="51"/>
      <c r="AB29" s="51"/>
      <c r="AF29" s="51"/>
      <c r="AH29" s="51"/>
      <c r="AI29" s="51"/>
      <c r="AJ29" s="51"/>
      <c r="AL29" s="51"/>
      <c r="AM29" s="51"/>
      <c r="AN29" s="51"/>
      <c r="AP29" s="117"/>
      <c r="AQ29" s="45"/>
      <c r="AR29" s="45"/>
      <c r="AS29" s="45"/>
      <c r="AT29" s="45"/>
    </row>
    <row r="30" spans="4:65">
      <c r="D30" s="51"/>
      <c r="E30" s="51"/>
      <c r="F30" s="51"/>
      <c r="H30" s="51"/>
      <c r="I30" s="51"/>
      <c r="J30" s="51"/>
      <c r="L30" s="51"/>
      <c r="M30" s="51"/>
      <c r="Q30" s="51"/>
      <c r="S30" s="51"/>
      <c r="T30" s="51"/>
      <c r="U30" s="51"/>
      <c r="W30" s="51"/>
      <c r="X30" s="51"/>
      <c r="Y30" s="51"/>
      <c r="AA30" s="51"/>
      <c r="AB30" s="51"/>
      <c r="AF30" s="51"/>
      <c r="AH30" s="51"/>
      <c r="AI30" s="51"/>
      <c r="AJ30" s="51"/>
      <c r="AL30" s="51"/>
      <c r="AM30" s="51"/>
      <c r="AN30" s="51"/>
      <c r="AP30" s="115"/>
      <c r="AQ30" s="45"/>
      <c r="AR30" s="45"/>
      <c r="AS30" s="45"/>
      <c r="AT30" s="45"/>
    </row>
    <row r="31" spans="4:65">
      <c r="D31" s="51"/>
      <c r="E31" s="51"/>
      <c r="F31" s="51"/>
      <c r="H31" s="51"/>
      <c r="I31" s="51"/>
      <c r="J31" s="51"/>
      <c r="L31" s="51"/>
      <c r="M31" s="51"/>
      <c r="Q31" s="51"/>
      <c r="S31" s="51"/>
      <c r="T31" s="51"/>
      <c r="U31" s="51"/>
      <c r="W31" s="51"/>
      <c r="X31" s="51"/>
      <c r="Y31" s="51"/>
      <c r="AA31" s="51"/>
      <c r="AB31" s="51"/>
      <c r="AF31" s="51"/>
      <c r="AH31" s="51"/>
      <c r="AI31" s="51"/>
      <c r="AJ31" s="51"/>
      <c r="AL31" s="51"/>
      <c r="AM31" s="51"/>
      <c r="AN31" s="51"/>
      <c r="AP31" s="116"/>
      <c r="AQ31" s="45"/>
      <c r="AR31" s="45"/>
      <c r="AS31" s="45"/>
      <c r="AT31" s="45"/>
    </row>
    <row r="32" spans="4:65">
      <c r="D32" s="51"/>
      <c r="E32" s="51"/>
      <c r="F32" s="51"/>
      <c r="H32" s="51"/>
      <c r="I32" s="51"/>
      <c r="J32" s="51"/>
      <c r="L32" s="51"/>
      <c r="M32" s="51"/>
      <c r="Q32" s="51"/>
      <c r="S32" s="51"/>
      <c r="T32" s="51"/>
      <c r="U32" s="51"/>
      <c r="W32" s="51"/>
      <c r="X32" s="51"/>
      <c r="Y32" s="51"/>
      <c r="AA32" s="51"/>
      <c r="AB32" s="51"/>
      <c r="AF32" s="51"/>
      <c r="AH32" s="51"/>
      <c r="AI32" s="51"/>
      <c r="AJ32" s="51"/>
      <c r="AL32" s="51"/>
      <c r="AM32" s="51"/>
      <c r="AN32" s="51"/>
      <c r="AP32" s="116"/>
      <c r="AQ32" s="45"/>
      <c r="AR32" s="45"/>
      <c r="AS32" s="45"/>
      <c r="AT32" s="45"/>
    </row>
    <row r="33" spans="4:46">
      <c r="D33" s="51"/>
      <c r="E33" s="51"/>
      <c r="F33" s="51"/>
      <c r="H33" s="51"/>
      <c r="I33" s="51"/>
      <c r="J33" s="51"/>
      <c r="L33" s="51"/>
      <c r="M33" s="51"/>
      <c r="Q33" s="51"/>
      <c r="S33" s="51"/>
      <c r="T33" s="51"/>
      <c r="U33" s="51"/>
      <c r="W33" s="51"/>
      <c r="X33" s="51"/>
      <c r="Y33" s="51"/>
      <c r="AA33" s="51"/>
      <c r="AB33" s="51"/>
      <c r="AF33" s="51"/>
      <c r="AH33" s="51"/>
      <c r="AI33" s="51"/>
      <c r="AJ33" s="51"/>
      <c r="AL33" s="51"/>
      <c r="AM33" s="51"/>
      <c r="AN33" s="51"/>
      <c r="AP33" s="116"/>
      <c r="AQ33" s="45"/>
      <c r="AR33" s="45"/>
      <c r="AS33" s="45"/>
      <c r="AT33" s="45"/>
    </row>
    <row r="34" spans="4:46">
      <c r="D34" s="51"/>
      <c r="E34" s="51"/>
      <c r="F34" s="51"/>
      <c r="H34" s="51"/>
      <c r="I34" s="51"/>
      <c r="J34" s="51"/>
      <c r="L34" s="51"/>
      <c r="M34" s="51"/>
      <c r="Q34" s="51"/>
      <c r="S34" s="51"/>
      <c r="T34" s="51"/>
      <c r="U34" s="51"/>
      <c r="W34" s="51"/>
      <c r="X34" s="51"/>
      <c r="Y34" s="51"/>
      <c r="AA34" s="51"/>
      <c r="AB34" s="51"/>
      <c r="AF34" s="51"/>
      <c r="AH34" s="51"/>
      <c r="AI34" s="51"/>
      <c r="AJ34" s="51"/>
      <c r="AL34" s="51"/>
      <c r="AM34" s="51"/>
      <c r="AN34" s="51"/>
      <c r="AP34"/>
    </row>
    <row r="35" spans="4:46">
      <c r="D35" s="51"/>
      <c r="E35" s="51"/>
      <c r="F35" s="51"/>
      <c r="H35" s="51"/>
      <c r="I35" s="51"/>
      <c r="J35" s="51"/>
      <c r="L35" s="51"/>
      <c r="M35" s="51"/>
      <c r="Q35" s="51"/>
      <c r="S35" s="51"/>
      <c r="T35" s="51"/>
      <c r="U35" s="51"/>
      <c r="W35" s="51"/>
      <c r="X35" s="51"/>
      <c r="Y35" s="51"/>
      <c r="AA35" s="51"/>
      <c r="AB35" s="51"/>
      <c r="AF35" s="51"/>
      <c r="AH35" s="51"/>
      <c r="AI35" s="51"/>
      <c r="AJ35" s="51"/>
      <c r="AL35" s="51"/>
      <c r="AM35" s="51"/>
      <c r="AN35" s="51"/>
      <c r="AP35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3" r:id="rId1" xr:uid="{EFDC11A7-2768-42B7-A899-1AEE43BD06DB}"/>
  </hyperlinks>
  <pageMargins left="0.7" right="0.7" top="0.78740157499999996" bottom="0.78740157499999996" header="0.3" footer="0.3"/>
  <pageSetup paperSize="9" orientation="portrait" r:id="rId2"/>
  <ignoredErrors>
    <ignoredError sqref="C10:E10 G10:H10 K10:M10 I10 R10:T10 V10:X10 Z10:AB10" formulaRange="1"/>
    <ignoredError sqref="F10 J10 Q10 U10 Y10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2C85-5E78-48FF-A50B-40CD0E948797}">
  <dimension ref="A1:BQ21"/>
  <sheetViews>
    <sheetView topLeftCell="B1" zoomScaleNormal="100" workbookViewId="0">
      <pane xSplit="1" topLeftCell="AW1" activePane="topRight" state="frozen"/>
      <selection activeCell="BL6" sqref="BL6:BL9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8.710937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425781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8.570312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42578125" style="51" customWidth="1"/>
    <col min="23" max="23" width="9.42578125" style="21" customWidth="1"/>
    <col min="24" max="24" width="10.42578125" style="21" customWidth="1"/>
    <col min="25" max="25" width="10.140625" style="21" bestFit="1" customWidth="1"/>
    <col min="26" max="26" width="9.42578125" style="51" customWidth="1"/>
    <col min="27" max="27" width="10.42578125" style="21" customWidth="1"/>
    <col min="28" max="28" width="10.85546875" style="21" customWidth="1"/>
    <col min="29" max="31" width="11.42578125" style="51" customWidth="1"/>
    <col min="32" max="32" width="11.42578125" style="21"/>
    <col min="33" max="33" width="9.710937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72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161013</v>
      </c>
      <c r="D6" s="185">
        <v>149279</v>
      </c>
      <c r="E6" s="31">
        <v>90249</v>
      </c>
      <c r="F6" s="198">
        <f>(E6-D6)/D6</f>
        <v>-0.39543405301482459</v>
      </c>
      <c r="G6" s="53">
        <v>81969</v>
      </c>
      <c r="H6" s="53">
        <v>79594</v>
      </c>
      <c r="I6" s="31">
        <v>51312</v>
      </c>
      <c r="J6" s="198">
        <f>(I6-H6)/H6</f>
        <v>-0.35532829107721686</v>
      </c>
      <c r="K6" s="53">
        <v>458054</v>
      </c>
      <c r="L6" s="53">
        <v>254684</v>
      </c>
      <c r="M6" s="214">
        <v>283964</v>
      </c>
      <c r="N6" s="53">
        <f>SUM(C6,G6,K6)</f>
        <v>701036</v>
      </c>
      <c r="O6" s="53">
        <f>SUM(D6,H6,L6)</f>
        <v>483557</v>
      </c>
      <c r="P6" s="53">
        <f>SUM(E6,I6,M6)</f>
        <v>425525</v>
      </c>
      <c r="Q6" s="222">
        <f>(M6-L6)/L6</f>
        <v>0.11496599707873287</v>
      </c>
      <c r="R6" s="53">
        <v>161064</v>
      </c>
      <c r="S6" s="31">
        <v>4321</v>
      </c>
      <c r="T6" s="31">
        <v>141583</v>
      </c>
      <c r="U6" s="49">
        <f>(T6-S6)/S6</f>
        <v>31.766257810691968</v>
      </c>
      <c r="V6" s="53">
        <v>183724</v>
      </c>
      <c r="W6" s="31">
        <v>20247</v>
      </c>
      <c r="X6" s="31">
        <v>156737</v>
      </c>
      <c r="Y6" s="49">
        <f>(X6-W6)/W6</f>
        <v>6.7412456166345631</v>
      </c>
      <c r="Z6" s="53">
        <v>223421</v>
      </c>
      <c r="AA6" s="31">
        <v>145377</v>
      </c>
      <c r="AB6" s="53">
        <v>186128</v>
      </c>
      <c r="AC6" s="53">
        <f>SUM(R6,V6,Z6)</f>
        <v>568209</v>
      </c>
      <c r="AD6" s="53">
        <f t="shared" ref="AD6:AE10" si="0">SUM(S6,W6,AA6)</f>
        <v>169945</v>
      </c>
      <c r="AE6" s="53">
        <f t="shared" si="0"/>
        <v>484448</v>
      </c>
      <c r="AF6" s="49">
        <f>(AB6-AA6)/AA6</f>
        <v>0.28031256663708842</v>
      </c>
      <c r="AG6" s="53"/>
      <c r="AH6" s="31"/>
      <c r="AI6" s="53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1269245</v>
      </c>
      <c r="BL6" s="54">
        <f>SUM(D6,H6,L6,S6,W6,AA6,AH6,AL6,AP6,AW6,BA6,BE6)</f>
        <v>653502</v>
      </c>
      <c r="BM6" s="145">
        <f>SUM(E6,I6,M6,T6,X6,AB6,AI6,AM6,AQ6,AX6,BB6,BF6)</f>
        <v>909973</v>
      </c>
      <c r="BN6" s="32">
        <f>(BM6-BL6)/BL6</f>
        <v>0.39245633525222567</v>
      </c>
    </row>
    <row r="7" spans="2:69">
      <c r="B7" s="248" t="s">
        <v>3</v>
      </c>
      <c r="C7" s="53">
        <v>22236</v>
      </c>
      <c r="D7" s="185">
        <v>23557</v>
      </c>
      <c r="E7" s="31">
        <v>24029</v>
      </c>
      <c r="F7" s="198">
        <f>(E7-D7)/D7</f>
        <v>2.0036507195313497E-2</v>
      </c>
      <c r="G7" s="53">
        <v>14384</v>
      </c>
      <c r="H7" s="53">
        <v>14103</v>
      </c>
      <c r="I7" s="31">
        <v>17205</v>
      </c>
      <c r="J7" s="198">
        <f>(I7-H7)/H7</f>
        <v>0.21995320144650074</v>
      </c>
      <c r="K7" s="53">
        <v>66123</v>
      </c>
      <c r="L7" s="53">
        <v>30247</v>
      </c>
      <c r="M7" s="214">
        <v>56122</v>
      </c>
      <c r="N7" s="53">
        <f t="shared" ref="N7:N9" si="1">SUM(C7,G7,K7)</f>
        <v>102743</v>
      </c>
      <c r="O7" s="53">
        <f t="shared" ref="O7:O9" si="2">SUM(D7,H7,L7)</f>
        <v>67907</v>
      </c>
      <c r="P7" s="53">
        <f t="shared" ref="P7:P9" si="3">SUM(E7,I7,M7)</f>
        <v>97356</v>
      </c>
      <c r="Q7" s="222">
        <f t="shared" ref="Q7:Q10" si="4">(M7-L7)/L7</f>
        <v>0.85545673951135648</v>
      </c>
      <c r="R7" s="53">
        <v>24604</v>
      </c>
      <c r="S7" s="31">
        <v>3387</v>
      </c>
      <c r="T7" s="23">
        <v>30440</v>
      </c>
      <c r="U7" s="49">
        <f t="shared" ref="U7:U10" si="5">(T7-S7)/S7</f>
        <v>7.9873043991733095</v>
      </c>
      <c r="V7" s="53">
        <v>29142</v>
      </c>
      <c r="W7" s="31">
        <v>7541</v>
      </c>
      <c r="X7" s="31">
        <v>29354</v>
      </c>
      <c r="Y7" s="49">
        <f t="shared" ref="Y7:Y10" si="6">(X7-W7)/W7</f>
        <v>2.8925871900278479</v>
      </c>
      <c r="Z7" s="53">
        <v>39929</v>
      </c>
      <c r="AA7" s="31">
        <v>30041</v>
      </c>
      <c r="AB7" s="53">
        <v>34363</v>
      </c>
      <c r="AC7" s="53">
        <f t="shared" ref="AC7:AC10" si="7">SUM(R7,V7,Z7)</f>
        <v>93675</v>
      </c>
      <c r="AD7" s="53">
        <f t="shared" si="0"/>
        <v>40969</v>
      </c>
      <c r="AE7" s="53">
        <f t="shared" si="0"/>
        <v>94157</v>
      </c>
      <c r="AF7" s="49">
        <f t="shared" ref="AF7:AF10" si="8">(AB7-AA7)/AA7</f>
        <v>0.14387004427282712</v>
      </c>
      <c r="AG7" s="53"/>
      <c r="AH7" s="31"/>
      <c r="AI7" s="53"/>
      <c r="AJ7" s="49"/>
      <c r="AK7" s="49"/>
      <c r="AL7" s="31"/>
      <c r="AM7" s="53"/>
      <c r="AN7" s="49"/>
      <c r="AO7" s="49"/>
      <c r="AP7" s="53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10" si="9">SUM(C7,G7,K7,R7,V7,Z7,AG7,AK7,AO7,AV7,AZ7,BD7)</f>
        <v>196418</v>
      </c>
      <c r="BL7" s="145">
        <f t="shared" ref="BL7:BL9" si="10">SUM(D7,H7,L7,S7,W7,AA7,AH7,AL7,AP7,AW7,BA7,BE7)</f>
        <v>108876</v>
      </c>
      <c r="BM7" s="145">
        <f t="shared" ref="BM7:BM9" si="11">SUM(E7,I7,M7,T7,X7,AB7,AI7,AM7,AQ7,AX7,BB7,BF7)</f>
        <v>191513</v>
      </c>
      <c r="BN7" s="32">
        <f>(BM7-BL7)/BL7</f>
        <v>0.75900106543223489</v>
      </c>
    </row>
    <row r="8" spans="2:69">
      <c r="B8" s="248" t="s">
        <v>4</v>
      </c>
      <c r="C8" s="53">
        <v>4464</v>
      </c>
      <c r="D8" s="185">
        <v>3545</v>
      </c>
      <c r="E8" s="31">
        <v>2893</v>
      </c>
      <c r="F8" s="198">
        <f>(E8-D8)/D8</f>
        <v>-0.18392101551480958</v>
      </c>
      <c r="G8" s="53">
        <v>2723</v>
      </c>
      <c r="H8" s="53">
        <v>2562</v>
      </c>
      <c r="I8" s="31">
        <v>2494</v>
      </c>
      <c r="J8" s="198">
        <f t="shared" ref="J8:J9" si="12">(I8-H8)/H8</f>
        <v>-2.6541764246682281E-2</v>
      </c>
      <c r="K8" s="53">
        <v>7348</v>
      </c>
      <c r="L8" s="53">
        <v>5448</v>
      </c>
      <c r="M8" s="214">
        <v>5514</v>
      </c>
      <c r="N8" s="53">
        <f t="shared" si="1"/>
        <v>14535</v>
      </c>
      <c r="O8" s="53">
        <f t="shared" si="2"/>
        <v>11555</v>
      </c>
      <c r="P8" s="53">
        <f t="shared" si="3"/>
        <v>10901</v>
      </c>
      <c r="Q8" s="222">
        <f t="shared" si="4"/>
        <v>1.2114537444933921E-2</v>
      </c>
      <c r="R8" s="53">
        <v>5039</v>
      </c>
      <c r="S8" s="31">
        <v>1269</v>
      </c>
      <c r="T8" s="31">
        <v>3555</v>
      </c>
      <c r="U8" s="49">
        <f t="shared" si="5"/>
        <v>1.801418439716312</v>
      </c>
      <c r="V8" s="53">
        <v>5049</v>
      </c>
      <c r="W8" s="31">
        <v>1313</v>
      </c>
      <c r="X8" s="31">
        <v>3720</v>
      </c>
      <c r="Y8" s="49">
        <f t="shared" si="6"/>
        <v>1.8332063975628332</v>
      </c>
      <c r="Z8" s="53">
        <v>8522</v>
      </c>
      <c r="AA8" s="71">
        <v>2260</v>
      </c>
      <c r="AB8" s="71">
        <v>3306</v>
      </c>
      <c r="AC8" s="53">
        <f t="shared" si="7"/>
        <v>18610</v>
      </c>
      <c r="AD8" s="53">
        <f t="shared" si="0"/>
        <v>4842</v>
      </c>
      <c r="AE8" s="53">
        <f t="shared" si="0"/>
        <v>10581</v>
      </c>
      <c r="AF8" s="49">
        <f t="shared" si="8"/>
        <v>0.46283185840707963</v>
      </c>
      <c r="AG8" s="53"/>
      <c r="AH8" s="53"/>
      <c r="AI8" s="53"/>
      <c r="AJ8" s="49"/>
      <c r="AK8" s="49"/>
      <c r="AL8" s="31"/>
      <c r="AM8" s="53"/>
      <c r="AN8" s="49"/>
      <c r="AO8" s="49"/>
      <c r="AP8" s="53"/>
      <c r="AQ8" s="53"/>
      <c r="AR8" s="53"/>
      <c r="AS8" s="53"/>
      <c r="AT8" s="53"/>
      <c r="AU8" s="49"/>
      <c r="AV8" s="49"/>
      <c r="AW8" s="31"/>
      <c r="AX8" s="53"/>
      <c r="AY8" s="49"/>
      <c r="AZ8" s="49"/>
      <c r="BA8" s="31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9"/>
        <v>33145</v>
      </c>
      <c r="BL8" s="145">
        <f t="shared" si="10"/>
        <v>16397</v>
      </c>
      <c r="BM8" s="145">
        <f t="shared" si="11"/>
        <v>21482</v>
      </c>
      <c r="BN8" s="32">
        <f>(BM8-BL8)/BL8</f>
        <v>0.31011770445813258</v>
      </c>
    </row>
    <row r="9" spans="2:69">
      <c r="B9" s="248" t="s">
        <v>5</v>
      </c>
      <c r="C9" s="53">
        <v>337</v>
      </c>
      <c r="D9" s="185">
        <v>454</v>
      </c>
      <c r="E9" s="31">
        <v>191</v>
      </c>
      <c r="F9" s="198">
        <f>(E9-D9)/D9</f>
        <v>-0.57929515418502198</v>
      </c>
      <c r="G9" s="53">
        <v>352</v>
      </c>
      <c r="H9" s="53">
        <v>391</v>
      </c>
      <c r="I9" s="31">
        <v>184</v>
      </c>
      <c r="J9" s="198">
        <f t="shared" si="12"/>
        <v>-0.52941176470588236</v>
      </c>
      <c r="K9" s="53">
        <v>764</v>
      </c>
      <c r="L9" s="53">
        <v>898</v>
      </c>
      <c r="M9" s="214">
        <v>276</v>
      </c>
      <c r="N9" s="53">
        <f t="shared" si="1"/>
        <v>1453</v>
      </c>
      <c r="O9" s="53">
        <f t="shared" si="2"/>
        <v>1743</v>
      </c>
      <c r="P9" s="53">
        <f t="shared" si="3"/>
        <v>651</v>
      </c>
      <c r="Q9" s="222">
        <f t="shared" si="4"/>
        <v>-0.69265033407572385</v>
      </c>
      <c r="R9" s="53">
        <v>491</v>
      </c>
      <c r="S9" s="31">
        <v>99</v>
      </c>
      <c r="T9" s="31">
        <v>329</v>
      </c>
      <c r="U9" s="49">
        <f t="shared" si="5"/>
        <v>2.3232323232323231</v>
      </c>
      <c r="V9" s="53">
        <v>617</v>
      </c>
      <c r="W9" s="31">
        <v>82</v>
      </c>
      <c r="X9" s="31">
        <v>369</v>
      </c>
      <c r="Y9" s="49">
        <f t="shared" si="6"/>
        <v>3.5</v>
      </c>
      <c r="Z9" s="53">
        <v>606</v>
      </c>
      <c r="AA9" s="79">
        <v>182</v>
      </c>
      <c r="AB9" s="79">
        <v>493</v>
      </c>
      <c r="AC9" s="53">
        <f t="shared" si="7"/>
        <v>1714</v>
      </c>
      <c r="AD9" s="53">
        <f t="shared" si="0"/>
        <v>363</v>
      </c>
      <c r="AE9" s="53">
        <f t="shared" si="0"/>
        <v>1191</v>
      </c>
      <c r="AF9" s="49">
        <f t="shared" si="8"/>
        <v>1.7087912087912087</v>
      </c>
      <c r="AG9" s="53"/>
      <c r="AH9" s="53"/>
      <c r="AI9" s="53"/>
      <c r="AJ9" s="49"/>
      <c r="AK9" s="49"/>
      <c r="AL9" s="31"/>
      <c r="AM9" s="53"/>
      <c r="AN9" s="49"/>
      <c r="AO9" s="193"/>
      <c r="AP9" s="53"/>
      <c r="AQ9" s="191"/>
      <c r="AR9" s="191"/>
      <c r="AS9" s="191"/>
      <c r="AT9" s="191"/>
      <c r="AU9" s="49"/>
      <c r="AV9" s="193"/>
      <c r="AW9" s="53"/>
      <c r="AX9" s="191"/>
      <c r="AY9" s="49"/>
      <c r="AZ9" s="193"/>
      <c r="BA9" s="53"/>
      <c r="BB9" s="191"/>
      <c r="BC9" s="49"/>
      <c r="BD9" s="49"/>
      <c r="BE9" s="35"/>
      <c r="BF9" s="53"/>
      <c r="BG9" s="53"/>
      <c r="BH9" s="53"/>
      <c r="BI9" s="53"/>
      <c r="BJ9" s="49"/>
      <c r="BK9" s="145">
        <f t="shared" si="9"/>
        <v>3167</v>
      </c>
      <c r="BL9" s="145">
        <f t="shared" si="10"/>
        <v>2106</v>
      </c>
      <c r="BM9" s="145">
        <f t="shared" si="11"/>
        <v>1842</v>
      </c>
      <c r="BN9" s="32">
        <f>(BM9-BL9)/BL9</f>
        <v>-0.12535612535612536</v>
      </c>
    </row>
    <row r="10" spans="2:69" s="9" customFormat="1">
      <c r="B10" s="249" t="s">
        <v>7</v>
      </c>
      <c r="C10" s="187">
        <f>SUM(C6:C9)</f>
        <v>188050</v>
      </c>
      <c r="D10" s="187">
        <f>SUM(D6:D9)</f>
        <v>176835</v>
      </c>
      <c r="E10" s="15">
        <f>SUM(E6:E9)</f>
        <v>117362</v>
      </c>
      <c r="F10" s="50">
        <f>(E10-D10)/D10</f>
        <v>-0.33631916758560237</v>
      </c>
      <c r="G10" s="145">
        <f>SUM(G6:G9)</f>
        <v>99428</v>
      </c>
      <c r="H10" s="15">
        <f>SUM(H6:H9)</f>
        <v>96650</v>
      </c>
      <c r="I10" s="15">
        <f>SUM(I6:I9)</f>
        <v>71195</v>
      </c>
      <c r="J10" s="50">
        <f>(I10-H10)/H10</f>
        <v>-0.26337299534402481</v>
      </c>
      <c r="K10" s="145">
        <f>SUM(K6:K9)</f>
        <v>532289</v>
      </c>
      <c r="L10" s="15">
        <f>SUM(L6:L9)</f>
        <v>291277</v>
      </c>
      <c r="M10" s="15">
        <f>SUM(M6:M9)</f>
        <v>345876</v>
      </c>
      <c r="N10" s="227">
        <f>SUM(N6:N9)</f>
        <v>819767</v>
      </c>
      <c r="O10" s="227">
        <f t="shared" ref="O10:P10" si="13">SUM(O6:O9)</f>
        <v>564762</v>
      </c>
      <c r="P10" s="227">
        <f t="shared" si="13"/>
        <v>534433</v>
      </c>
      <c r="Q10" s="223">
        <f t="shared" si="4"/>
        <v>0.18744700062140163</v>
      </c>
      <c r="R10" s="145">
        <f>SUM(R6:R9)</f>
        <v>191198</v>
      </c>
      <c r="S10" s="54">
        <f>SUM(S6:S9)</f>
        <v>9076</v>
      </c>
      <c r="T10" s="145">
        <f>SUM(T6:T9)</f>
        <v>175907</v>
      </c>
      <c r="U10" s="50">
        <f t="shared" si="5"/>
        <v>18.381555751432348</v>
      </c>
      <c r="V10" s="145">
        <f>SUM(V6:V9)</f>
        <v>218532</v>
      </c>
      <c r="W10" s="15">
        <f>SUM(W6:W9)</f>
        <v>29183</v>
      </c>
      <c r="X10" s="145">
        <f>SUM(X6:X9)</f>
        <v>190180</v>
      </c>
      <c r="Y10" s="50">
        <f t="shared" si="6"/>
        <v>5.516807730528047</v>
      </c>
      <c r="Z10" s="145">
        <f>SUM(Z6:Z9)</f>
        <v>272478</v>
      </c>
      <c r="AA10" s="145">
        <f>SUM(AA6:AA9)</f>
        <v>177860</v>
      </c>
      <c r="AB10" s="145">
        <f>SUM(AB6:AB9)</f>
        <v>224290</v>
      </c>
      <c r="AC10" s="145">
        <f t="shared" si="7"/>
        <v>682208</v>
      </c>
      <c r="AD10" s="145">
        <f t="shared" si="0"/>
        <v>216119</v>
      </c>
      <c r="AE10" s="145">
        <f t="shared" si="0"/>
        <v>590377</v>
      </c>
      <c r="AF10" s="50">
        <f t="shared" si="8"/>
        <v>0.26104801529292704</v>
      </c>
      <c r="AG10" s="53"/>
      <c r="AH10" s="54"/>
      <c r="AI10" s="54"/>
      <c r="AJ10" s="49"/>
      <c r="AK10" s="49"/>
      <c r="AL10" s="54"/>
      <c r="AM10" s="54"/>
      <c r="AN10" s="49"/>
      <c r="AO10" s="49"/>
      <c r="AP10" s="227"/>
      <c r="AQ10" s="54"/>
      <c r="AR10" s="145"/>
      <c r="AS10" s="145"/>
      <c r="AT10" s="145"/>
      <c r="AU10" s="49"/>
      <c r="AV10" s="49"/>
      <c r="AW10" s="227"/>
      <c r="AX10" s="54"/>
      <c r="AY10" s="49"/>
      <c r="AZ10" s="49"/>
      <c r="BA10" s="227"/>
      <c r="BB10" s="54"/>
      <c r="BC10" s="49"/>
      <c r="BD10" s="49"/>
      <c r="BE10" s="145"/>
      <c r="BF10" s="145"/>
      <c r="BG10" s="145"/>
      <c r="BH10" s="145"/>
      <c r="BI10" s="145"/>
      <c r="BJ10" s="49"/>
      <c r="BK10" s="145">
        <f t="shared" si="9"/>
        <v>1501975</v>
      </c>
      <c r="BL10" s="54">
        <f>SUM(D10,H10,L10,S10,W10,AA10,AH10,AL10,AP10,AW10,BA10,BE10)</f>
        <v>780881</v>
      </c>
      <c r="BM10" s="145">
        <f>SUM(E10,I10,M10,T10,X10,AB10,AI10,AM10,AQ10,AX10,BB10,BF10)</f>
        <v>1124810</v>
      </c>
      <c r="BN10" s="30">
        <f>(BM10-BL10)/BL10</f>
        <v>0.44043714727340016</v>
      </c>
      <c r="BP10" s="21"/>
      <c r="BQ10" s="20"/>
    </row>
    <row r="12" spans="2:69">
      <c r="B12" s="43" t="s">
        <v>73</v>
      </c>
      <c r="C12" s="43"/>
      <c r="BL12" s="64"/>
    </row>
    <row r="13" spans="2:69">
      <c r="B13" s="67" t="s">
        <v>120</v>
      </c>
      <c r="C13" s="67"/>
      <c r="AJ13" s="22"/>
      <c r="AK13" s="63"/>
      <c r="AL13" s="22"/>
      <c r="AM13" s="22"/>
      <c r="AN13" s="22"/>
      <c r="AO13" s="63"/>
      <c r="AP13" s="63"/>
      <c r="AQ13" s="63"/>
      <c r="AR13" s="63"/>
      <c r="AS13" s="63"/>
      <c r="AT13" s="63"/>
      <c r="AU13" s="22"/>
      <c r="AV13" s="63"/>
      <c r="AW13" s="22"/>
      <c r="AX13" s="22"/>
      <c r="AY13" s="22"/>
      <c r="AZ13" s="63"/>
      <c r="BA13" s="22"/>
      <c r="BB13" s="22"/>
      <c r="BC13" s="22"/>
      <c r="BD13" s="63"/>
      <c r="BL13" s="142"/>
      <c r="BM13" s="142"/>
    </row>
    <row r="14" spans="2:69">
      <c r="D14" s="22"/>
      <c r="E14" s="22"/>
      <c r="F14" s="22"/>
      <c r="G14" s="63"/>
      <c r="H14" s="22"/>
      <c r="I14" s="22"/>
      <c r="AP14" s="51"/>
    </row>
    <row r="15" spans="2:69"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  <c r="AJ20" s="23"/>
      <c r="AK20" s="142"/>
      <c r="AL20" s="23"/>
      <c r="AM20" s="23"/>
      <c r="AN20" s="23"/>
      <c r="AO20" s="142"/>
      <c r="AP20" s="23"/>
      <c r="AQ20" s="23"/>
      <c r="AR20" s="142"/>
      <c r="AS20" s="142"/>
      <c r="AT20" s="142"/>
      <c r="AU20" s="23"/>
      <c r="AV20" s="142"/>
      <c r="AW20" s="23"/>
      <c r="AX20" s="23"/>
      <c r="AY20" s="23"/>
      <c r="AZ20" s="142"/>
      <c r="BA20" s="23"/>
      <c r="BB20" s="23"/>
      <c r="BC20" s="23"/>
      <c r="BD20" s="142"/>
    </row>
    <row r="21" spans="4:56">
      <c r="D21" s="23"/>
      <c r="E21" s="23"/>
      <c r="F21" s="23"/>
      <c r="G21" s="142"/>
      <c r="H21" s="23"/>
      <c r="I21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3" r:id="rId1" xr:uid="{ED230F6D-3D3A-4357-BBFB-A7C90990A70D}"/>
  </hyperlinks>
  <pageMargins left="0.7" right="0.7" top="0.78740157499999996" bottom="0.78740157499999996" header="0.3" footer="0.3"/>
  <pageSetup paperSize="9" orientation="portrait" r:id="rId2"/>
  <ignoredErrors>
    <ignoredError sqref="C10:E10 G10:I10 K10:M10 R10:T10 V10:X10 Z10:AB10" formulaRange="1"/>
    <ignoredError sqref="F10" formula="1" formulaRange="1"/>
    <ignoredError sqref="J10 Q10 U10 Y10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74A5-5356-4893-B01A-F4A3E26AE56E}">
  <dimension ref="A1:BQ20"/>
  <sheetViews>
    <sheetView topLeftCell="B1" zoomScaleNormal="100" workbookViewId="0">
      <pane xSplit="1" topLeftCell="AW1" activePane="topRight" state="frozen"/>
      <selection activeCell="G14" sqref="G14"/>
      <selection pane="topRight" activeCell="B2" sqref="B2"/>
    </sheetView>
  </sheetViews>
  <sheetFormatPr baseColWidth="10" defaultColWidth="11.42578125" defaultRowHeight="15"/>
  <cols>
    <col min="1" max="1" width="57" style="21" hidden="1" customWidth="1"/>
    <col min="2" max="2" width="19.28515625" style="21" customWidth="1"/>
    <col min="3" max="3" width="8.28515625" style="51" customWidth="1"/>
    <col min="4" max="4" width="8.7109375" style="21" customWidth="1"/>
    <col min="5" max="5" width="9" style="21" customWidth="1"/>
    <col min="6" max="6" width="11.5703125" style="21" customWidth="1"/>
    <col min="7" max="7" width="8.42578125" style="51" customWidth="1"/>
    <col min="8" max="8" width="9.140625" style="21" customWidth="1"/>
    <col min="9" max="9" width="10.140625" style="21" customWidth="1"/>
    <col min="10" max="10" width="10.85546875" style="21" customWidth="1"/>
    <col min="11" max="11" width="9.28515625" style="51" customWidth="1"/>
    <col min="12" max="12" width="9.7109375" style="21" customWidth="1"/>
    <col min="13" max="13" width="9.42578125" style="21" customWidth="1"/>
    <col min="14" max="14" width="8.5703125" style="51" customWidth="1"/>
    <col min="15" max="16" width="9.42578125" style="51" customWidth="1"/>
    <col min="17" max="17" width="10" style="21" customWidth="1"/>
    <col min="18" max="18" width="9.7109375" style="51" customWidth="1"/>
    <col min="19" max="19" width="10" style="21" customWidth="1"/>
    <col min="20" max="20" width="9.7109375" style="21" customWidth="1"/>
    <col min="21" max="21" width="11.140625" style="21" customWidth="1"/>
    <col min="22" max="22" width="9.28515625" style="51" customWidth="1"/>
    <col min="23" max="23" width="8.85546875" style="21" customWidth="1"/>
    <col min="24" max="24" width="10.42578125" style="21" customWidth="1"/>
    <col min="25" max="25" width="10.140625" style="21" bestFit="1" customWidth="1"/>
    <col min="26" max="26" width="9.7109375" style="51" customWidth="1"/>
    <col min="27" max="27" width="10.42578125" style="21" customWidth="1"/>
    <col min="28" max="28" width="11.42578125" style="21" customWidth="1"/>
    <col min="29" max="31" width="11.42578125" style="51" customWidth="1"/>
    <col min="32" max="32" width="11.42578125" style="21"/>
    <col min="33" max="33" width="9.5703125" style="51" customWidth="1"/>
    <col min="34" max="34" width="9.28515625" style="21" customWidth="1"/>
    <col min="35" max="35" width="9.7109375" style="21" customWidth="1"/>
    <col min="36" max="36" width="11.42578125" style="21"/>
    <col min="37" max="37" width="8.85546875" style="51" customWidth="1"/>
    <col min="38" max="38" width="9.140625" style="21" customWidth="1"/>
    <col min="39" max="39" width="9.42578125" style="21" customWidth="1"/>
    <col min="40" max="40" width="11.42578125" style="21"/>
    <col min="41" max="41" width="9" style="51" customWidth="1"/>
    <col min="42" max="43" width="11.42578125" style="21"/>
    <col min="44" max="46" width="11.42578125" style="51"/>
    <col min="47" max="47" width="11.42578125" style="21"/>
    <col min="48" max="48" width="11.42578125" style="51"/>
    <col min="49" max="51" width="11.42578125" style="21"/>
    <col min="52" max="52" width="9.7109375" style="51" customWidth="1"/>
    <col min="53" max="55" width="11.42578125" style="21"/>
    <col min="56" max="56" width="11.42578125" style="51"/>
    <col min="57" max="58" width="11.42578125" style="21"/>
    <col min="59" max="61" width="11.42578125" style="51"/>
    <col min="62" max="62" width="11.42578125" style="21"/>
    <col min="63" max="63" width="11.42578125" style="316"/>
    <col min="64" max="16384" width="11.42578125" style="21"/>
  </cols>
  <sheetData>
    <row r="1" spans="2:69">
      <c r="B1" s="9" t="s">
        <v>70</v>
      </c>
      <c r="C1" s="57"/>
    </row>
    <row r="2" spans="2:69">
      <c r="B2" s="41"/>
      <c r="C2" s="68"/>
      <c r="AB2" s="23"/>
      <c r="AC2" s="142"/>
      <c r="AD2" s="142"/>
      <c r="AE2" s="142"/>
    </row>
    <row r="4" spans="2:69" ht="45" customHeight="1">
      <c r="B4" s="10"/>
      <c r="C4" s="371" t="s">
        <v>8</v>
      </c>
      <c r="D4" s="370"/>
      <c r="E4" s="372"/>
      <c r="F4" s="262" t="s">
        <v>29</v>
      </c>
      <c r="G4" s="374" t="s">
        <v>9</v>
      </c>
      <c r="H4" s="366"/>
      <c r="I4" s="373"/>
      <c r="J4" s="211" t="s">
        <v>29</v>
      </c>
      <c r="K4" s="371" t="s">
        <v>10</v>
      </c>
      <c r="L4" s="366"/>
      <c r="M4" s="373"/>
      <c r="N4" s="371" t="s">
        <v>138</v>
      </c>
      <c r="O4" s="366"/>
      <c r="P4" s="373"/>
      <c r="Q4" s="24" t="s">
        <v>29</v>
      </c>
      <c r="R4" s="365" t="s">
        <v>11</v>
      </c>
      <c r="S4" s="366"/>
      <c r="T4" s="367"/>
      <c r="U4" s="16" t="s">
        <v>29</v>
      </c>
      <c r="V4" s="365" t="s">
        <v>0</v>
      </c>
      <c r="W4" s="366"/>
      <c r="X4" s="366"/>
      <c r="Y4" s="182" t="s">
        <v>29</v>
      </c>
      <c r="Z4" s="365" t="s">
        <v>1</v>
      </c>
      <c r="AA4" s="366"/>
      <c r="AB4" s="367"/>
      <c r="AC4" s="365" t="s">
        <v>135</v>
      </c>
      <c r="AD4" s="366"/>
      <c r="AE4" s="367"/>
      <c r="AF4" s="16" t="s">
        <v>29</v>
      </c>
      <c r="AG4" s="365" t="s">
        <v>2</v>
      </c>
      <c r="AH4" s="366"/>
      <c r="AI4" s="367"/>
      <c r="AJ4" s="16" t="s">
        <v>29</v>
      </c>
      <c r="AK4" s="365" t="s">
        <v>12</v>
      </c>
      <c r="AL4" s="366"/>
      <c r="AM4" s="367"/>
      <c r="AN4" s="16" t="s">
        <v>29</v>
      </c>
      <c r="AO4" s="365" t="s">
        <v>13</v>
      </c>
      <c r="AP4" s="366"/>
      <c r="AQ4" s="367"/>
      <c r="AR4" s="365" t="s">
        <v>136</v>
      </c>
      <c r="AS4" s="366"/>
      <c r="AT4" s="367"/>
      <c r="AU4" s="16" t="s">
        <v>29</v>
      </c>
      <c r="AV4" s="365" t="s">
        <v>14</v>
      </c>
      <c r="AW4" s="366"/>
      <c r="AX4" s="367"/>
      <c r="AY4" s="182" t="s">
        <v>29</v>
      </c>
      <c r="AZ4" s="365" t="s">
        <v>15</v>
      </c>
      <c r="BA4" s="366"/>
      <c r="BB4" s="367"/>
      <c r="BC4" s="16" t="s">
        <v>29</v>
      </c>
      <c r="BD4" s="365" t="s">
        <v>16</v>
      </c>
      <c r="BE4" s="366"/>
      <c r="BF4" s="367"/>
      <c r="BG4" s="365" t="s">
        <v>137</v>
      </c>
      <c r="BH4" s="366"/>
      <c r="BI4" s="367"/>
      <c r="BJ4" s="182" t="s">
        <v>29</v>
      </c>
      <c r="BK4" s="365" t="s">
        <v>28</v>
      </c>
      <c r="BL4" s="370"/>
      <c r="BM4" s="367"/>
      <c r="BN4" s="368" t="s">
        <v>129</v>
      </c>
    </row>
    <row r="5" spans="2:69" ht="15" customHeight="1">
      <c r="B5" s="247"/>
      <c r="C5" s="261">
        <v>2019</v>
      </c>
      <c r="D5" s="255">
        <v>2020</v>
      </c>
      <c r="E5" s="58">
        <v>2021</v>
      </c>
      <c r="F5" s="16" t="s">
        <v>130</v>
      </c>
      <c r="G5" s="16">
        <v>2019</v>
      </c>
      <c r="H5" s="58">
        <v>2020</v>
      </c>
      <c r="I5" s="58">
        <v>2021</v>
      </c>
      <c r="J5" s="16" t="s">
        <v>130</v>
      </c>
      <c r="K5" s="16">
        <v>2019</v>
      </c>
      <c r="L5" s="58">
        <v>2020</v>
      </c>
      <c r="M5" s="58">
        <v>2021</v>
      </c>
      <c r="N5" s="58">
        <v>2019</v>
      </c>
      <c r="O5" s="58">
        <v>2020</v>
      </c>
      <c r="P5" s="58">
        <v>2021</v>
      </c>
      <c r="Q5" s="65" t="s">
        <v>130</v>
      </c>
      <c r="R5" s="16">
        <v>2019</v>
      </c>
      <c r="S5" s="58">
        <v>2020</v>
      </c>
      <c r="T5" s="58">
        <v>2021</v>
      </c>
      <c r="U5" s="16" t="s">
        <v>130</v>
      </c>
      <c r="V5" s="16">
        <v>2019</v>
      </c>
      <c r="W5" s="58">
        <v>2020</v>
      </c>
      <c r="X5" s="58">
        <v>2021</v>
      </c>
      <c r="Y5" s="16" t="s">
        <v>130</v>
      </c>
      <c r="Z5" s="16">
        <v>2019</v>
      </c>
      <c r="AA5" s="58">
        <v>2020</v>
      </c>
      <c r="AB5" s="58">
        <v>2021</v>
      </c>
      <c r="AC5" s="16">
        <v>2019</v>
      </c>
      <c r="AD5" s="58">
        <v>2020</v>
      </c>
      <c r="AE5" s="58">
        <v>2021</v>
      </c>
      <c r="AF5" s="16" t="s">
        <v>130</v>
      </c>
      <c r="AG5" s="16">
        <v>2019</v>
      </c>
      <c r="AH5" s="58">
        <v>2020</v>
      </c>
      <c r="AI5" s="58">
        <v>2021</v>
      </c>
      <c r="AJ5" s="16" t="s">
        <v>130</v>
      </c>
      <c r="AK5" s="16">
        <v>2019</v>
      </c>
      <c r="AL5" s="58">
        <v>2020</v>
      </c>
      <c r="AM5" s="58">
        <v>2021</v>
      </c>
      <c r="AN5" s="16" t="s">
        <v>130</v>
      </c>
      <c r="AO5" s="16">
        <v>2019</v>
      </c>
      <c r="AP5" s="58">
        <v>2020</v>
      </c>
      <c r="AQ5" s="58">
        <v>2021</v>
      </c>
      <c r="AR5" s="58">
        <v>2019</v>
      </c>
      <c r="AS5" s="58">
        <v>2020</v>
      </c>
      <c r="AT5" s="58">
        <v>2021</v>
      </c>
      <c r="AU5" s="16" t="s">
        <v>130</v>
      </c>
      <c r="AV5" s="16">
        <v>2019</v>
      </c>
      <c r="AW5" s="58">
        <v>2020</v>
      </c>
      <c r="AX5" s="58">
        <v>2021</v>
      </c>
      <c r="AY5" s="16" t="s">
        <v>130</v>
      </c>
      <c r="AZ5" s="16">
        <v>2019</v>
      </c>
      <c r="BA5" s="58">
        <v>2020</v>
      </c>
      <c r="BB5" s="58">
        <v>2021</v>
      </c>
      <c r="BC5" s="16" t="s">
        <v>130</v>
      </c>
      <c r="BD5" s="16">
        <v>2019</v>
      </c>
      <c r="BE5" s="11">
        <v>2020</v>
      </c>
      <c r="BF5" s="11">
        <v>2021</v>
      </c>
      <c r="BG5" s="58">
        <v>2019</v>
      </c>
      <c r="BH5" s="58">
        <v>2020</v>
      </c>
      <c r="BI5" s="58">
        <v>2021</v>
      </c>
      <c r="BJ5" s="16" t="s">
        <v>130</v>
      </c>
      <c r="BK5" s="16">
        <v>2019</v>
      </c>
      <c r="BL5" s="11">
        <v>2020</v>
      </c>
      <c r="BM5" s="11">
        <v>2021</v>
      </c>
      <c r="BN5" s="369"/>
    </row>
    <row r="6" spans="2:69">
      <c r="B6" s="248" t="s">
        <v>6</v>
      </c>
      <c r="C6" s="53">
        <v>5258</v>
      </c>
      <c r="D6" s="185">
        <v>7072</v>
      </c>
      <c r="E6" s="31">
        <v>5736</v>
      </c>
      <c r="F6" s="198">
        <f>(E6-D6)/D6</f>
        <v>-0.18891402714932126</v>
      </c>
      <c r="G6" s="53">
        <v>5758</v>
      </c>
      <c r="H6" s="53">
        <v>6963</v>
      </c>
      <c r="I6" s="31">
        <v>6336</v>
      </c>
      <c r="J6" s="206">
        <f>(I6-H6)/H6</f>
        <v>-9.004739336492891E-2</v>
      </c>
      <c r="K6" s="53">
        <v>7327</v>
      </c>
      <c r="L6" s="53">
        <v>6244</v>
      </c>
      <c r="M6" s="214">
        <v>9041</v>
      </c>
      <c r="N6" s="53">
        <f>SUM(C6,G6,K6)</f>
        <v>18343</v>
      </c>
      <c r="O6" s="53">
        <f>SUM(D6,H6,L6)</f>
        <v>20279</v>
      </c>
      <c r="P6" s="53">
        <f>SUM(E6,I6,M6)</f>
        <v>21113</v>
      </c>
      <c r="Q6" s="222">
        <f>(M6-L6)/L6</f>
        <v>0.44795003203074951</v>
      </c>
      <c r="R6" s="53">
        <v>6903</v>
      </c>
      <c r="S6" s="31">
        <v>3664</v>
      </c>
      <c r="T6" s="31">
        <v>10022</v>
      </c>
      <c r="U6" s="19">
        <f>(T6-S6)/S6</f>
        <v>1.7352620087336244</v>
      </c>
      <c r="V6" s="53">
        <v>6947</v>
      </c>
      <c r="W6" s="31">
        <v>5895</v>
      </c>
      <c r="X6" s="31">
        <v>8446</v>
      </c>
      <c r="Y6" s="49">
        <f>(X6-W6)/W6</f>
        <v>0.43273960983884646</v>
      </c>
      <c r="Z6" s="53">
        <v>6500</v>
      </c>
      <c r="AA6" s="31">
        <v>7306</v>
      </c>
      <c r="AB6" s="31">
        <v>8816</v>
      </c>
      <c r="AC6" s="53">
        <f>SUM(R6,V6,Z6)</f>
        <v>20350</v>
      </c>
      <c r="AD6" s="53">
        <f>SUM(S6,W6,AA6)</f>
        <v>16865</v>
      </c>
      <c r="AE6" s="53">
        <f>SUM(T6,X6,AB6)</f>
        <v>27284</v>
      </c>
      <c r="AF6" s="49">
        <f>(AB6-AA6)/AA6</f>
        <v>0.20667944155488641</v>
      </c>
      <c r="AG6" s="49"/>
      <c r="AH6" s="31"/>
      <c r="AI6" s="10"/>
      <c r="AJ6" s="49"/>
      <c r="AK6" s="49"/>
      <c r="AL6" s="31"/>
      <c r="AM6" s="53"/>
      <c r="AN6" s="49"/>
      <c r="AO6" s="49"/>
      <c r="AP6" s="31"/>
      <c r="AQ6" s="53"/>
      <c r="AR6" s="53"/>
      <c r="AS6" s="53"/>
      <c r="AT6" s="53"/>
      <c r="AU6" s="49"/>
      <c r="AV6" s="49"/>
      <c r="AW6" s="31"/>
      <c r="AX6" s="53"/>
      <c r="AY6" s="49"/>
      <c r="AZ6" s="49"/>
      <c r="BA6" s="31"/>
      <c r="BB6" s="53"/>
      <c r="BC6" s="49"/>
      <c r="BD6" s="49"/>
      <c r="BE6" s="35"/>
      <c r="BF6" s="53"/>
      <c r="BG6" s="53"/>
      <c r="BH6" s="53"/>
      <c r="BI6" s="53"/>
      <c r="BJ6" s="49"/>
      <c r="BK6" s="145">
        <f>SUM(C6,G6,K6,R6,V6,Z6,AG6,AK6,AO6,AV6,AZ6,BD6)</f>
        <v>38693</v>
      </c>
      <c r="BL6" s="54">
        <f>SUM(D6,H6,L6,S6,W6,AA6,AH6,AL6,AP6,AW6,BA6,BE6)</f>
        <v>37144</v>
      </c>
      <c r="BM6" s="145">
        <f>SUM(E6,I6,M6,T6,X6,AB6,AI6,AM6,AQ6,AX6,BB6,BF6)</f>
        <v>48397</v>
      </c>
      <c r="BN6" s="32">
        <f>(BM6-BL6)/BL6</f>
        <v>0.30295606289037258</v>
      </c>
    </row>
    <row r="7" spans="2:69">
      <c r="B7" s="248" t="s">
        <v>75</v>
      </c>
      <c r="C7" s="53">
        <v>818</v>
      </c>
      <c r="D7" s="185">
        <v>850</v>
      </c>
      <c r="E7" s="31">
        <v>901</v>
      </c>
      <c r="F7" s="198">
        <f>(E7-D7)/D7</f>
        <v>0.06</v>
      </c>
      <c r="G7" s="53">
        <v>754</v>
      </c>
      <c r="H7" s="53">
        <v>717</v>
      </c>
      <c r="I7" s="31">
        <v>765</v>
      </c>
      <c r="J7" s="206">
        <f t="shared" ref="J7:J9" si="0">(I7-H7)/H7</f>
        <v>6.6945606694560664E-2</v>
      </c>
      <c r="K7" s="53">
        <v>968</v>
      </c>
      <c r="L7" s="53">
        <v>568</v>
      </c>
      <c r="M7" s="214">
        <v>1155</v>
      </c>
      <c r="N7" s="53">
        <f t="shared" ref="N7:N9" si="1">SUM(C7,G7,K7)</f>
        <v>2540</v>
      </c>
      <c r="O7" s="53">
        <f t="shared" ref="O7:O9" si="2">SUM(D7,H7,L7)</f>
        <v>2135</v>
      </c>
      <c r="P7" s="53">
        <f t="shared" ref="P7:P9" si="3">SUM(E7,I7,M7)</f>
        <v>2821</v>
      </c>
      <c r="Q7" s="222">
        <f t="shared" ref="Q7:Q9" si="4">(M7-L7)/L7</f>
        <v>1.033450704225352</v>
      </c>
      <c r="R7" s="53">
        <v>858</v>
      </c>
      <c r="S7" s="31">
        <v>519</v>
      </c>
      <c r="T7" s="23">
        <v>1266</v>
      </c>
      <c r="U7" s="19">
        <f t="shared" ref="U7:U9" si="5">(T7-S7)/S7</f>
        <v>1.4393063583815029</v>
      </c>
      <c r="V7" s="53">
        <v>1133</v>
      </c>
      <c r="W7" s="31">
        <v>680</v>
      </c>
      <c r="X7" s="31">
        <v>1071</v>
      </c>
      <c r="Y7" s="49">
        <f t="shared" ref="Y7:Y9" si="6">(X7-W7)/W7</f>
        <v>0.57499999999999996</v>
      </c>
      <c r="Z7" s="53">
        <v>963</v>
      </c>
      <c r="AA7" s="31">
        <v>760</v>
      </c>
      <c r="AB7" s="31">
        <v>1449</v>
      </c>
      <c r="AC7" s="53">
        <f t="shared" ref="AC7:AE9" si="7">SUM(R7,V7,Z7)</f>
        <v>2954</v>
      </c>
      <c r="AD7" s="53">
        <f t="shared" si="7"/>
        <v>1959</v>
      </c>
      <c r="AE7" s="53">
        <f t="shared" si="7"/>
        <v>3786</v>
      </c>
      <c r="AF7" s="49">
        <f t="shared" ref="AF7:AF9" si="8">(AB7-AA7)/AA7</f>
        <v>0.90657894736842104</v>
      </c>
      <c r="AG7" s="49"/>
      <c r="AH7" s="31"/>
      <c r="AI7" s="10"/>
      <c r="AJ7" s="49"/>
      <c r="AK7" s="49"/>
      <c r="AL7" s="31"/>
      <c r="AM7" s="53"/>
      <c r="AN7" s="49"/>
      <c r="AO7" s="49"/>
      <c r="AP7" s="31"/>
      <c r="AQ7" s="53"/>
      <c r="AR7" s="53"/>
      <c r="AS7" s="53"/>
      <c r="AT7" s="53"/>
      <c r="AU7" s="49"/>
      <c r="AV7" s="49"/>
      <c r="AW7" s="31"/>
      <c r="AX7" s="53"/>
      <c r="AY7" s="49"/>
      <c r="AZ7" s="49"/>
      <c r="BA7" s="31"/>
      <c r="BB7" s="53"/>
      <c r="BC7" s="49"/>
      <c r="BD7" s="49"/>
      <c r="BE7" s="35"/>
      <c r="BF7" s="53"/>
      <c r="BG7" s="53"/>
      <c r="BH7" s="53"/>
      <c r="BI7" s="53"/>
      <c r="BJ7" s="49"/>
      <c r="BK7" s="145">
        <f t="shared" ref="BK7:BK9" si="9">SUM(C7,G7,K7,R7,V7,Z7,AG7,AK7,AO7,AV7,AZ7,BD7)</f>
        <v>5494</v>
      </c>
      <c r="BL7" s="145">
        <f t="shared" ref="BL7:BL9" si="10">SUM(D7,H7,L7,S7,W7,AA7,AH7,AL7,AP7,AW7,BA7,BE7)</f>
        <v>4094</v>
      </c>
      <c r="BM7" s="145">
        <f t="shared" ref="BM7:BM9" si="11">SUM(E7,I7,M7,T7,X7,AB7,AI7,AM7,AQ7,AX7,BB7,BF7)</f>
        <v>6607</v>
      </c>
      <c r="BN7" s="32">
        <f>(BM7-BL7)/BL7</f>
        <v>0.61382510991695161</v>
      </c>
    </row>
    <row r="8" spans="2:69">
      <c r="B8" s="248" t="s">
        <v>5</v>
      </c>
      <c r="C8" s="53">
        <v>148</v>
      </c>
      <c r="D8" s="185">
        <v>169</v>
      </c>
      <c r="E8" s="31">
        <v>181</v>
      </c>
      <c r="F8" s="198">
        <f>(E8-D8)/D8</f>
        <v>7.1005917159763315E-2</v>
      </c>
      <c r="G8" s="53">
        <v>67</v>
      </c>
      <c r="H8" s="53">
        <v>111</v>
      </c>
      <c r="I8" s="31">
        <v>120</v>
      </c>
      <c r="J8" s="206">
        <f t="shared" si="0"/>
        <v>8.1081081081081086E-2</v>
      </c>
      <c r="K8" s="53">
        <v>133</v>
      </c>
      <c r="L8" s="53">
        <v>289</v>
      </c>
      <c r="M8" s="214">
        <v>106</v>
      </c>
      <c r="N8" s="53">
        <f t="shared" si="1"/>
        <v>348</v>
      </c>
      <c r="O8" s="53">
        <f t="shared" si="2"/>
        <v>569</v>
      </c>
      <c r="P8" s="53">
        <f t="shared" si="3"/>
        <v>407</v>
      </c>
      <c r="Q8" s="222">
        <f t="shared" si="4"/>
        <v>-0.63321799307958482</v>
      </c>
      <c r="R8" s="53">
        <v>86</v>
      </c>
      <c r="S8" s="31">
        <v>63</v>
      </c>
      <c r="T8" s="31">
        <v>90</v>
      </c>
      <c r="U8" s="19">
        <f t="shared" si="5"/>
        <v>0.42857142857142855</v>
      </c>
      <c r="V8" s="53">
        <v>112</v>
      </c>
      <c r="W8" s="31">
        <v>186</v>
      </c>
      <c r="X8" s="31">
        <v>190</v>
      </c>
      <c r="Y8" s="49">
        <f t="shared" si="6"/>
        <v>2.1505376344086023E-2</v>
      </c>
      <c r="Z8" s="53">
        <v>99</v>
      </c>
      <c r="AA8" s="10">
        <v>94</v>
      </c>
      <c r="AB8" s="10">
        <v>351</v>
      </c>
      <c r="AC8" s="53">
        <f t="shared" si="7"/>
        <v>297</v>
      </c>
      <c r="AD8" s="53">
        <f t="shared" si="7"/>
        <v>343</v>
      </c>
      <c r="AE8" s="53">
        <f t="shared" si="7"/>
        <v>631</v>
      </c>
      <c r="AF8" s="49">
        <f t="shared" si="8"/>
        <v>2.7340425531914891</v>
      </c>
      <c r="AG8" s="49"/>
      <c r="AH8" s="10"/>
      <c r="AI8" s="10"/>
      <c r="AJ8" s="49"/>
      <c r="AK8" s="49"/>
      <c r="AL8" s="31"/>
      <c r="AM8" s="53"/>
      <c r="AN8" s="49"/>
      <c r="AO8" s="49"/>
      <c r="AP8" s="23"/>
      <c r="AQ8" s="53"/>
      <c r="AR8" s="53"/>
      <c r="AS8" s="53"/>
      <c r="AT8" s="53"/>
      <c r="AU8" s="49"/>
      <c r="AV8" s="193"/>
      <c r="AW8" s="53"/>
      <c r="AX8" s="53"/>
      <c r="AY8" s="49"/>
      <c r="AZ8" s="193"/>
      <c r="BA8" s="53"/>
      <c r="BB8" s="53"/>
      <c r="BC8" s="49"/>
      <c r="BD8" s="49"/>
      <c r="BE8" s="35"/>
      <c r="BF8" s="53"/>
      <c r="BG8" s="53"/>
      <c r="BH8" s="53"/>
      <c r="BI8" s="53"/>
      <c r="BJ8" s="49"/>
      <c r="BK8" s="145">
        <f t="shared" si="9"/>
        <v>645</v>
      </c>
      <c r="BL8" s="145">
        <f t="shared" si="10"/>
        <v>912</v>
      </c>
      <c r="BM8" s="145">
        <f t="shared" si="11"/>
        <v>1038</v>
      </c>
      <c r="BN8" s="32">
        <f>(BM8-BL8)/BL8</f>
        <v>0.13815789473684212</v>
      </c>
    </row>
    <row r="9" spans="2:69" s="9" customFormat="1">
      <c r="B9" s="249" t="s">
        <v>7</v>
      </c>
      <c r="C9" s="187">
        <f>SUM(C6:C8)</f>
        <v>6224</v>
      </c>
      <c r="D9" s="187">
        <f>SUM(D6:D8)</f>
        <v>8091</v>
      </c>
      <c r="E9" s="15">
        <f>SUM(E6:E8)</f>
        <v>6818</v>
      </c>
      <c r="F9" s="199">
        <f>(E9-D9)/D9</f>
        <v>-0.15733531083920405</v>
      </c>
      <c r="G9" s="289">
        <f>SUM(G6:G8)</f>
        <v>6579</v>
      </c>
      <c r="H9" s="289">
        <f>SUM(H6:H8)</f>
        <v>7791</v>
      </c>
      <c r="I9" s="289">
        <f>SUM(I6:I8)</f>
        <v>7221</v>
      </c>
      <c r="J9" s="207">
        <f t="shared" si="0"/>
        <v>-7.3161340007701192E-2</v>
      </c>
      <c r="K9" s="289">
        <f>SUM(K6:K8)</f>
        <v>8428</v>
      </c>
      <c r="L9" s="289">
        <f>SUM(L6:L8)</f>
        <v>7101</v>
      </c>
      <c r="M9" s="289">
        <f>SUM(M6:M8)</f>
        <v>10302</v>
      </c>
      <c r="N9" s="53">
        <f t="shared" si="1"/>
        <v>21231</v>
      </c>
      <c r="O9" s="53">
        <f t="shared" si="2"/>
        <v>22983</v>
      </c>
      <c r="P9" s="53">
        <f t="shared" si="3"/>
        <v>24341</v>
      </c>
      <c r="Q9" s="223">
        <f t="shared" si="4"/>
        <v>0.45078158005914659</v>
      </c>
      <c r="R9" s="145">
        <f>SUM(R6:R8)</f>
        <v>7847</v>
      </c>
      <c r="S9" s="145">
        <f>SUM(S6:S8)</f>
        <v>4246</v>
      </c>
      <c r="T9" s="145">
        <f>SUM(T6:T8)</f>
        <v>11378</v>
      </c>
      <c r="U9" s="61">
        <f t="shared" si="5"/>
        <v>1.6796985398021667</v>
      </c>
      <c r="V9" s="145">
        <f>SUM(V6:V8)</f>
        <v>8192</v>
      </c>
      <c r="W9" s="145">
        <f>SUM(W6:W8)</f>
        <v>6761</v>
      </c>
      <c r="X9" s="145">
        <f>SUM(X6:X8)</f>
        <v>9707</v>
      </c>
      <c r="Y9" s="50">
        <f t="shared" si="6"/>
        <v>0.43573435882265937</v>
      </c>
      <c r="Z9" s="343">
        <f>SUM(Z6:Z8)</f>
        <v>7562</v>
      </c>
      <c r="AA9" s="343">
        <f>SUM(AA6:AA8)</f>
        <v>8160</v>
      </c>
      <c r="AB9" s="343">
        <f>SUM(AB6:AB8)</f>
        <v>10616</v>
      </c>
      <c r="AC9" s="74">
        <f t="shared" si="7"/>
        <v>23601</v>
      </c>
      <c r="AD9" s="74">
        <f t="shared" si="7"/>
        <v>19167</v>
      </c>
      <c r="AE9" s="74">
        <f t="shared" si="7"/>
        <v>31701</v>
      </c>
      <c r="AF9" s="50">
        <f t="shared" si="8"/>
        <v>0.30098039215686273</v>
      </c>
      <c r="AG9" s="50"/>
      <c r="AH9" s="54"/>
      <c r="AI9" s="54"/>
      <c r="AJ9" s="50"/>
      <c r="AK9" s="50"/>
      <c r="AL9" s="54"/>
      <c r="AM9" s="54"/>
      <c r="AN9" s="50"/>
      <c r="AO9" s="207"/>
      <c r="AP9" s="145"/>
      <c r="AQ9" s="192"/>
      <c r="AR9" s="192"/>
      <c r="AS9" s="192"/>
      <c r="AT9" s="192"/>
      <c r="AU9" s="50"/>
      <c r="AV9" s="207"/>
      <c r="AW9" s="145"/>
      <c r="AX9" s="192"/>
      <c r="AY9" s="50"/>
      <c r="AZ9" s="207"/>
      <c r="BA9" s="145"/>
      <c r="BB9" s="192"/>
      <c r="BC9" s="50"/>
      <c r="BD9" s="50"/>
      <c r="BE9" s="145"/>
      <c r="BF9" s="145"/>
      <c r="BG9" s="145"/>
      <c r="BH9" s="145"/>
      <c r="BI9" s="145"/>
      <c r="BJ9" s="50"/>
      <c r="BK9" s="145">
        <f t="shared" si="9"/>
        <v>44832</v>
      </c>
      <c r="BL9" s="145">
        <f t="shared" si="10"/>
        <v>42150</v>
      </c>
      <c r="BM9" s="145">
        <f t="shared" si="11"/>
        <v>56042</v>
      </c>
      <c r="BN9" s="30">
        <f>(BM9-BL9)/BL9</f>
        <v>0.32958481613285884</v>
      </c>
      <c r="BP9" s="21"/>
      <c r="BQ9" s="20"/>
    </row>
    <row r="10" spans="2:69">
      <c r="D10" s="51"/>
      <c r="N10" s="142"/>
      <c r="O10" s="142"/>
      <c r="P10" s="142"/>
      <c r="BM10" s="51"/>
    </row>
    <row r="11" spans="2:69">
      <c r="B11" s="43" t="s">
        <v>71</v>
      </c>
      <c r="C11" s="43"/>
      <c r="E11" s="51"/>
      <c r="F11" s="51"/>
      <c r="H11" s="51"/>
      <c r="I11" s="51"/>
    </row>
    <row r="12" spans="2:69">
      <c r="B12" s="132" t="s">
        <v>127</v>
      </c>
      <c r="C12" s="132"/>
      <c r="AJ12" s="22"/>
      <c r="AK12" s="63"/>
      <c r="AL12" s="22"/>
      <c r="AM12" s="22"/>
      <c r="AN12" s="22"/>
      <c r="AO12" s="63"/>
      <c r="AP12" s="22"/>
      <c r="AQ12" s="22"/>
      <c r="AR12" s="63"/>
      <c r="AS12" s="63"/>
      <c r="AT12" s="63"/>
      <c r="AU12" s="22"/>
      <c r="AV12" s="63"/>
      <c r="AW12" s="22"/>
      <c r="AX12" s="22"/>
      <c r="AY12" s="22"/>
      <c r="AZ12" s="63"/>
      <c r="BA12" s="22"/>
      <c r="BB12" s="22"/>
      <c r="BC12" s="22"/>
      <c r="BD12" s="63"/>
      <c r="BL12" s="142"/>
    </row>
    <row r="13" spans="2:69">
      <c r="B13" s="67"/>
      <c r="C13" s="67"/>
      <c r="D13" s="22"/>
      <c r="E13" s="22"/>
      <c r="F13" s="22"/>
      <c r="G13" s="63"/>
      <c r="H13" s="22"/>
      <c r="I13" s="22"/>
      <c r="BM13" s="142"/>
    </row>
    <row r="14" spans="2:69">
      <c r="AJ14" s="23"/>
      <c r="AK14" s="142"/>
      <c r="AL14" s="23"/>
      <c r="AM14" s="23"/>
      <c r="AN14" s="23"/>
      <c r="AO14" s="142"/>
      <c r="AP14" s="23"/>
      <c r="AQ14" s="23"/>
      <c r="AR14" s="142"/>
      <c r="AS14" s="142"/>
      <c r="AT14" s="142"/>
      <c r="AU14" s="23"/>
      <c r="AV14" s="142"/>
      <c r="AW14" s="23"/>
      <c r="AX14" s="23"/>
      <c r="AY14" s="23"/>
      <c r="AZ14" s="142"/>
      <c r="BA14" s="23"/>
      <c r="BB14" s="23"/>
      <c r="BC14" s="23"/>
      <c r="BD14" s="142"/>
    </row>
    <row r="15" spans="2:69">
      <c r="D15" s="23"/>
      <c r="E15" s="23"/>
      <c r="F15" s="23"/>
      <c r="G15" s="142"/>
      <c r="H15" s="23"/>
      <c r="I15" s="23"/>
      <c r="AJ15" s="23"/>
      <c r="AK15" s="142"/>
      <c r="AL15" s="23"/>
      <c r="AM15" s="23"/>
      <c r="AN15" s="23"/>
      <c r="AO15" s="142"/>
      <c r="AP15" s="23"/>
      <c r="AQ15" s="23"/>
      <c r="AR15" s="142"/>
      <c r="AS15" s="142"/>
      <c r="AT15" s="142"/>
      <c r="AU15" s="23"/>
      <c r="AV15" s="142"/>
      <c r="AW15" s="23"/>
      <c r="AX15" s="23"/>
      <c r="AY15" s="23"/>
      <c r="AZ15" s="142"/>
      <c r="BA15" s="23"/>
      <c r="BB15" s="23"/>
      <c r="BC15" s="23"/>
      <c r="BD15" s="142"/>
    </row>
    <row r="16" spans="2:69">
      <c r="D16" s="23"/>
      <c r="E16" s="23"/>
      <c r="F16" s="23"/>
      <c r="G16" s="142"/>
      <c r="H16" s="23"/>
      <c r="I16" s="23"/>
      <c r="AJ16" s="23"/>
      <c r="AK16" s="142"/>
      <c r="AL16" s="23"/>
      <c r="AM16" s="23"/>
      <c r="AN16" s="23"/>
      <c r="AO16" s="142"/>
      <c r="AP16" s="23"/>
      <c r="AQ16" s="23"/>
      <c r="AR16" s="142"/>
      <c r="AS16" s="142"/>
      <c r="AT16" s="142"/>
      <c r="AU16" s="23"/>
      <c r="AV16" s="142"/>
      <c r="AW16" s="23"/>
      <c r="AX16" s="23"/>
      <c r="AY16" s="23"/>
      <c r="AZ16" s="142"/>
      <c r="BA16" s="23"/>
      <c r="BB16" s="23"/>
      <c r="BC16" s="23"/>
      <c r="BD16" s="142"/>
    </row>
    <row r="17" spans="4:56">
      <c r="D17" s="23"/>
      <c r="E17" s="23"/>
      <c r="F17" s="23"/>
      <c r="G17" s="142"/>
      <c r="H17" s="23"/>
      <c r="I17" s="23"/>
      <c r="AJ17" s="23"/>
      <c r="AK17" s="142"/>
      <c r="AL17" s="23"/>
      <c r="AM17" s="23"/>
      <c r="AN17" s="23"/>
      <c r="AO17" s="142"/>
      <c r="AP17" s="23"/>
      <c r="AQ17" s="23"/>
      <c r="AR17" s="142"/>
      <c r="AS17" s="142"/>
      <c r="AT17" s="142"/>
      <c r="AU17" s="23"/>
      <c r="AV17" s="142"/>
      <c r="AW17" s="23"/>
      <c r="AX17" s="23"/>
      <c r="AY17" s="23"/>
      <c r="AZ17" s="142"/>
      <c r="BA17" s="23"/>
      <c r="BB17" s="23"/>
      <c r="BC17" s="23"/>
      <c r="BD17" s="142"/>
    </row>
    <row r="18" spans="4:56">
      <c r="D18" s="23"/>
      <c r="E18" s="23"/>
      <c r="F18" s="23"/>
      <c r="G18" s="142"/>
      <c r="H18" s="23"/>
      <c r="I18" s="23"/>
      <c r="AJ18" s="23"/>
      <c r="AK18" s="142"/>
      <c r="AL18" s="23"/>
      <c r="AM18" s="23"/>
      <c r="AN18" s="23"/>
      <c r="AO18" s="142"/>
      <c r="AP18" s="23"/>
      <c r="AQ18" s="23"/>
      <c r="AR18" s="142"/>
      <c r="AS18" s="142"/>
      <c r="AT18" s="142"/>
      <c r="AU18" s="23"/>
      <c r="AV18" s="142"/>
      <c r="AW18" s="23"/>
      <c r="AX18" s="23"/>
      <c r="AY18" s="23"/>
      <c r="AZ18" s="142"/>
      <c r="BA18" s="23"/>
      <c r="BB18" s="23"/>
      <c r="BC18" s="23"/>
      <c r="BD18" s="142"/>
    </row>
    <row r="19" spans="4:56">
      <c r="D19" s="23"/>
      <c r="E19" s="23"/>
      <c r="F19" s="23"/>
      <c r="G19" s="142"/>
      <c r="H19" s="23"/>
      <c r="I19" s="23"/>
      <c r="AJ19" s="23"/>
      <c r="AK19" s="142"/>
      <c r="AL19" s="23"/>
      <c r="AM19" s="23"/>
      <c r="AN19" s="23"/>
      <c r="AO19" s="142"/>
      <c r="AP19" s="23"/>
      <c r="AQ19" s="23"/>
      <c r="AR19" s="142"/>
      <c r="AS19" s="142"/>
      <c r="AT19" s="142"/>
      <c r="AU19" s="23"/>
      <c r="AV19" s="142"/>
      <c r="AW19" s="23"/>
      <c r="AX19" s="23"/>
      <c r="AY19" s="23"/>
      <c r="AZ19" s="142"/>
      <c r="BA19" s="23"/>
      <c r="BB19" s="23"/>
      <c r="BC19" s="23"/>
      <c r="BD19" s="142"/>
    </row>
    <row r="20" spans="4:56">
      <c r="D20" s="23"/>
      <c r="E20" s="23"/>
      <c r="F20" s="23"/>
      <c r="G20" s="142"/>
      <c r="H20" s="23"/>
      <c r="I20" s="23"/>
    </row>
  </sheetData>
  <mergeCells count="18">
    <mergeCell ref="AO4:AQ4"/>
    <mergeCell ref="AR4:AT4"/>
    <mergeCell ref="V4:X4"/>
    <mergeCell ref="Z4:AB4"/>
    <mergeCell ref="AC4:AE4"/>
    <mergeCell ref="AG4:AI4"/>
    <mergeCell ref="AK4:AM4"/>
    <mergeCell ref="C4:E4"/>
    <mergeCell ref="G4:I4"/>
    <mergeCell ref="K4:M4"/>
    <mergeCell ref="N4:P4"/>
    <mergeCell ref="R4:T4"/>
    <mergeCell ref="AV4:AX4"/>
    <mergeCell ref="AZ4:BB4"/>
    <mergeCell ref="BD4:BF4"/>
    <mergeCell ref="BN4:BN5"/>
    <mergeCell ref="BG4:BI4"/>
    <mergeCell ref="BK4:BM4"/>
  </mergeCells>
  <hyperlinks>
    <hyperlink ref="B12" r:id="rId1" xr:uid="{62090D0A-F1B2-43EF-92BB-035452B5EB98}"/>
  </hyperlinks>
  <pageMargins left="0.7" right="0.7" top="0.78740157499999996" bottom="0.78740157499999996" header="0.3" footer="0.3"/>
  <pageSetup paperSize="9" orientation="portrait" r:id="rId2"/>
  <ignoredErrors>
    <ignoredError sqref="C9:E9 G9:I9 K9:M9 R9:T9 V9:X9 Z9:AB9" formulaRange="1"/>
    <ignoredError sqref="F9" formula="1" formulaRange="1"/>
    <ignoredError sqref="J9 U9 Y9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247D-17AA-4E0F-B759-5C61CBA7AB86}">
  <dimension ref="A1:BO34"/>
  <sheetViews>
    <sheetView zoomScale="102" zoomScaleNormal="102" workbookViewId="0">
      <pane xSplit="1" topLeftCell="AV1" activePane="topRight" state="frozen"/>
      <selection activeCell="B2" sqref="B2"/>
      <selection pane="topRight" activeCell="A2" sqref="A2"/>
    </sheetView>
  </sheetViews>
  <sheetFormatPr baseColWidth="10" defaultColWidth="11.42578125" defaultRowHeight="15"/>
  <cols>
    <col min="1" max="1" width="28.5703125" style="21" customWidth="1"/>
    <col min="2" max="2" width="11.5703125" style="51" bestFit="1" customWidth="1"/>
    <col min="3" max="4" width="11.42578125" style="21"/>
    <col min="5" max="5" width="10.5703125" style="21" customWidth="1"/>
    <col min="6" max="6" width="11" style="51" bestFit="1" customWidth="1"/>
    <col min="7" max="8" width="11.42578125" style="21"/>
    <col min="9" max="9" width="10.28515625" style="21" customWidth="1"/>
    <col min="10" max="10" width="13.42578125" style="51" bestFit="1" customWidth="1"/>
    <col min="11" max="11" width="11.5703125" style="21" bestFit="1" customWidth="1"/>
    <col min="12" max="12" width="12.42578125" style="21" bestFit="1" customWidth="1"/>
    <col min="13" max="15" width="11.42578125" style="51"/>
    <col min="16" max="16" width="11.42578125" style="21"/>
    <col min="17" max="17" width="11.42578125" style="51"/>
    <col min="18" max="20" width="11.42578125" style="21"/>
    <col min="21" max="21" width="11.42578125" style="51"/>
    <col min="22" max="24" width="11.42578125" style="21"/>
    <col min="25" max="25" width="11.42578125" style="51"/>
    <col min="26" max="27" width="11.42578125" style="21"/>
    <col min="28" max="30" width="11.42578125" style="51"/>
    <col min="31" max="31" width="11.42578125" style="21"/>
    <col min="32" max="32" width="11.42578125" style="51"/>
    <col min="33" max="35" width="11.42578125" style="21"/>
    <col min="36" max="36" width="11.42578125" style="51"/>
    <col min="37" max="39" width="11.42578125" style="21"/>
    <col min="40" max="40" width="11.42578125" style="51"/>
    <col min="41" max="42" width="11.42578125" style="21"/>
    <col min="43" max="45" width="11.42578125" style="51"/>
    <col min="46" max="46" width="11.42578125" style="21"/>
    <col min="47" max="47" width="11.42578125" style="51"/>
    <col min="48" max="50" width="11.42578125" style="21"/>
    <col min="51" max="51" width="11.42578125" style="51"/>
    <col min="52" max="54" width="11.42578125" style="21"/>
    <col min="55" max="55" width="11.42578125" style="51"/>
    <col min="56" max="57" width="11.42578125" style="21"/>
    <col min="58" max="60" width="11.42578125" style="51"/>
    <col min="61" max="61" width="11.42578125" style="21"/>
    <col min="62" max="62" width="11.42578125" style="316"/>
    <col min="63" max="16384" width="11.42578125" style="21"/>
  </cols>
  <sheetData>
    <row r="1" spans="1:67">
      <c r="A1" s="9" t="s">
        <v>40</v>
      </c>
      <c r="B1" s="57"/>
    </row>
    <row r="2" spans="1:67">
      <c r="AA2" s="23"/>
      <c r="AB2" s="142"/>
      <c r="AC2" s="142"/>
      <c r="AD2" s="142"/>
    </row>
    <row r="4" spans="1:67" ht="45" customHeight="1">
      <c r="A4" s="10"/>
      <c r="B4" s="371" t="s">
        <v>8</v>
      </c>
      <c r="C4" s="366"/>
      <c r="D4" s="373"/>
      <c r="E4" s="16" t="s">
        <v>29</v>
      </c>
      <c r="F4" s="371" t="s">
        <v>9</v>
      </c>
      <c r="G4" s="366"/>
      <c r="H4" s="373"/>
      <c r="I4" s="16" t="s">
        <v>29</v>
      </c>
      <c r="J4" s="371" t="s">
        <v>10</v>
      </c>
      <c r="K4" s="366"/>
      <c r="L4" s="373"/>
      <c r="M4" s="371" t="s">
        <v>138</v>
      </c>
      <c r="N4" s="366"/>
      <c r="O4" s="373"/>
      <c r="P4" s="16" t="s">
        <v>29</v>
      </c>
      <c r="Q4" s="371" t="s">
        <v>11</v>
      </c>
      <c r="R4" s="366"/>
      <c r="S4" s="373"/>
      <c r="T4" s="16" t="s">
        <v>29</v>
      </c>
      <c r="U4" s="371" t="s">
        <v>0</v>
      </c>
      <c r="V4" s="366"/>
      <c r="W4" s="373"/>
      <c r="X4" s="16" t="s">
        <v>29</v>
      </c>
      <c r="Y4" s="371" t="s">
        <v>1</v>
      </c>
      <c r="Z4" s="366"/>
      <c r="AA4" s="373"/>
      <c r="AB4" s="371" t="s">
        <v>135</v>
      </c>
      <c r="AC4" s="366"/>
      <c r="AD4" s="373"/>
      <c r="AE4" s="16" t="s">
        <v>29</v>
      </c>
      <c r="AF4" s="371" t="s">
        <v>2</v>
      </c>
      <c r="AG4" s="366"/>
      <c r="AH4" s="373"/>
      <c r="AI4" s="16" t="s">
        <v>29</v>
      </c>
      <c r="AJ4" s="371" t="s">
        <v>12</v>
      </c>
      <c r="AK4" s="366"/>
      <c r="AL4" s="373"/>
      <c r="AM4" s="16" t="s">
        <v>29</v>
      </c>
      <c r="AN4" s="371" t="s">
        <v>13</v>
      </c>
      <c r="AO4" s="366"/>
      <c r="AP4" s="373"/>
      <c r="AQ4" s="371" t="s">
        <v>136</v>
      </c>
      <c r="AR4" s="366"/>
      <c r="AS4" s="373"/>
      <c r="AT4" s="16" t="s">
        <v>29</v>
      </c>
      <c r="AU4" s="371" t="s">
        <v>14</v>
      </c>
      <c r="AV4" s="366"/>
      <c r="AW4" s="373"/>
      <c r="AX4" s="16" t="s">
        <v>29</v>
      </c>
      <c r="AY4" s="371" t="s">
        <v>15</v>
      </c>
      <c r="AZ4" s="366"/>
      <c r="BA4" s="373"/>
      <c r="BB4" s="16" t="s">
        <v>29</v>
      </c>
      <c r="BC4" s="371" t="s">
        <v>16</v>
      </c>
      <c r="BD4" s="366"/>
      <c r="BE4" s="373"/>
      <c r="BF4" s="371" t="s">
        <v>137</v>
      </c>
      <c r="BG4" s="366"/>
      <c r="BH4" s="373"/>
      <c r="BI4" s="16" t="s">
        <v>29</v>
      </c>
      <c r="BJ4" s="365" t="s">
        <v>28</v>
      </c>
      <c r="BK4" s="370"/>
      <c r="BL4" s="367"/>
      <c r="BM4" s="432" t="s">
        <v>129</v>
      </c>
    </row>
    <row r="5" spans="1:67">
      <c r="A5" s="10"/>
      <c r="B5" s="182">
        <v>2019</v>
      </c>
      <c r="C5" s="58">
        <v>2020</v>
      </c>
      <c r="D5" s="58">
        <v>2021</v>
      </c>
      <c r="E5" s="65" t="s">
        <v>130</v>
      </c>
      <c r="F5" s="182">
        <v>2019</v>
      </c>
      <c r="G5" s="58">
        <v>2020</v>
      </c>
      <c r="H5" s="58">
        <v>2021</v>
      </c>
      <c r="I5" s="65" t="s">
        <v>130</v>
      </c>
      <c r="J5" s="182">
        <v>2019</v>
      </c>
      <c r="K5" s="58">
        <v>2020</v>
      </c>
      <c r="L5" s="58">
        <v>2021</v>
      </c>
      <c r="M5" s="182">
        <v>2019</v>
      </c>
      <c r="N5" s="58">
        <v>2020</v>
      </c>
      <c r="O5" s="58">
        <v>2021</v>
      </c>
      <c r="P5" s="65" t="s">
        <v>130</v>
      </c>
      <c r="Q5" s="182">
        <v>2019</v>
      </c>
      <c r="R5" s="58">
        <v>2020</v>
      </c>
      <c r="S5" s="58">
        <v>2021</v>
      </c>
      <c r="T5" s="65" t="s">
        <v>130</v>
      </c>
      <c r="U5" s="16">
        <v>2019</v>
      </c>
      <c r="V5" s="58">
        <v>2020</v>
      </c>
      <c r="W5" s="58">
        <v>2021</v>
      </c>
      <c r="X5" s="65" t="s">
        <v>130</v>
      </c>
      <c r="Y5" s="16">
        <v>2019</v>
      </c>
      <c r="Z5" s="58">
        <v>2020</v>
      </c>
      <c r="AA5" s="58">
        <v>2021</v>
      </c>
      <c r="AB5" s="16">
        <v>2019</v>
      </c>
      <c r="AC5" s="58">
        <v>2020</v>
      </c>
      <c r="AD5" s="58">
        <v>2021</v>
      </c>
      <c r="AE5" s="65" t="s">
        <v>130</v>
      </c>
      <c r="AF5" s="16">
        <v>2019</v>
      </c>
      <c r="AG5" s="58">
        <v>2020</v>
      </c>
      <c r="AH5" s="58">
        <v>2021</v>
      </c>
      <c r="AI5" s="65" t="s">
        <v>130</v>
      </c>
      <c r="AJ5" s="16">
        <v>2019</v>
      </c>
      <c r="AK5" s="58">
        <v>2020</v>
      </c>
      <c r="AL5" s="58">
        <v>2021</v>
      </c>
      <c r="AM5" s="65" t="s">
        <v>130</v>
      </c>
      <c r="AN5" s="16">
        <v>2019</v>
      </c>
      <c r="AO5" s="58">
        <v>2020</v>
      </c>
      <c r="AP5" s="58">
        <v>2021</v>
      </c>
      <c r="AQ5" s="16">
        <v>2019</v>
      </c>
      <c r="AR5" s="58">
        <v>2020</v>
      </c>
      <c r="AS5" s="58">
        <v>2021</v>
      </c>
      <c r="AT5" s="65" t="s">
        <v>130</v>
      </c>
      <c r="AU5" s="16">
        <v>2019</v>
      </c>
      <c r="AV5" s="58">
        <v>2020</v>
      </c>
      <c r="AW5" s="58">
        <v>2021</v>
      </c>
      <c r="AX5" s="65" t="s">
        <v>130</v>
      </c>
      <c r="AY5" s="16">
        <v>2019</v>
      </c>
      <c r="AZ5" s="58">
        <v>2020</v>
      </c>
      <c r="BA5" s="58">
        <v>2021</v>
      </c>
      <c r="BB5" s="65" t="s">
        <v>130</v>
      </c>
      <c r="BC5" s="16">
        <v>2019</v>
      </c>
      <c r="BD5" s="58">
        <v>2020</v>
      </c>
      <c r="BE5" s="58">
        <v>2021</v>
      </c>
      <c r="BF5" s="16">
        <v>2019</v>
      </c>
      <c r="BG5" s="58">
        <v>2020</v>
      </c>
      <c r="BH5" s="58">
        <v>2021</v>
      </c>
      <c r="BI5" s="16" t="s">
        <v>130</v>
      </c>
      <c r="BJ5" s="16">
        <v>2019</v>
      </c>
      <c r="BK5" s="11">
        <v>2020</v>
      </c>
      <c r="BL5" s="11">
        <v>2021</v>
      </c>
      <c r="BM5" s="433"/>
    </row>
    <row r="6" spans="1:67">
      <c r="A6" s="18" t="s">
        <v>141</v>
      </c>
      <c r="B6" s="312">
        <v>353647</v>
      </c>
      <c r="C6" s="312">
        <v>293240</v>
      </c>
      <c r="D6" s="312">
        <v>249819</v>
      </c>
      <c r="E6" s="313">
        <f>(D6-C6)/C6</f>
        <v>-0.14807325057972992</v>
      </c>
      <c r="F6" s="312">
        <v>365541</v>
      </c>
      <c r="G6" s="312">
        <v>346488</v>
      </c>
      <c r="H6" s="312">
        <v>258937</v>
      </c>
      <c r="I6" s="313">
        <f>(H6-G6)/G6</f>
        <v>-0.25268118953614555</v>
      </c>
      <c r="J6" s="312">
        <v>482955</v>
      </c>
      <c r="K6" s="312">
        <v>264709</v>
      </c>
      <c r="L6" s="312">
        <v>362664</v>
      </c>
      <c r="M6" s="53">
        <f>SUM(B6,F6,J6)</f>
        <v>1202143</v>
      </c>
      <c r="N6" s="53">
        <f>SUM(C6,G6,K6)</f>
        <v>904437</v>
      </c>
      <c r="O6" s="53">
        <f>SUM(D6,H6,L6)</f>
        <v>871420</v>
      </c>
      <c r="P6" s="49">
        <f>(L6-K6)/K6</f>
        <v>0.37004786388071431</v>
      </c>
      <c r="Q6" s="312">
        <v>395580</v>
      </c>
      <c r="R6" s="31">
        <v>166418</v>
      </c>
      <c r="S6" s="31">
        <v>350502</v>
      </c>
      <c r="T6" s="49">
        <f>(S6-R6)/R6</f>
        <v>1.106154382338449</v>
      </c>
      <c r="U6" s="53">
        <v>454966</v>
      </c>
      <c r="V6" s="31">
        <v>258529</v>
      </c>
      <c r="W6" s="31">
        <v>386025</v>
      </c>
      <c r="X6" s="49">
        <f>(W6-V6)/V6</f>
        <v>0.49315937477033522</v>
      </c>
      <c r="Y6" s="53">
        <v>439956</v>
      </c>
      <c r="Z6" s="31">
        <v>251179</v>
      </c>
      <c r="AA6" s="31">
        <v>309017</v>
      </c>
      <c r="AB6" s="53">
        <f>SUM(Q6,U6,Y6)</f>
        <v>1290502</v>
      </c>
      <c r="AC6" s="53">
        <f>SUM(R6,V6,Z6)</f>
        <v>676126</v>
      </c>
      <c r="AD6" s="53">
        <f>SUM(S6,W6,AA6)</f>
        <v>1045544</v>
      </c>
      <c r="AE6" s="49">
        <f>(AA6-Z6)/Z6</f>
        <v>0.23026606523634541</v>
      </c>
      <c r="AF6" s="49"/>
      <c r="AG6" s="31"/>
      <c r="AH6" s="53"/>
      <c r="AI6" s="49"/>
      <c r="AJ6" s="49"/>
      <c r="AK6" s="53"/>
      <c r="AL6" s="53"/>
      <c r="AM6" s="49"/>
      <c r="AN6" s="49"/>
      <c r="AO6" s="31"/>
      <c r="AP6" s="53"/>
      <c r="AQ6" s="53"/>
      <c r="AR6" s="53"/>
      <c r="AS6" s="53"/>
      <c r="AT6" s="49"/>
      <c r="AU6" s="49"/>
      <c r="AV6" s="31"/>
      <c r="AW6" s="53"/>
      <c r="AX6" s="49"/>
      <c r="AY6" s="49"/>
      <c r="AZ6" s="31"/>
      <c r="BA6" s="53"/>
      <c r="BB6" s="49"/>
      <c r="BC6" s="49"/>
      <c r="BD6" s="155"/>
      <c r="BE6" s="53"/>
      <c r="BF6" s="53"/>
      <c r="BG6" s="53"/>
      <c r="BH6" s="53"/>
      <c r="BI6" s="49"/>
      <c r="BJ6" s="145">
        <f>SUM(B6,F6,J6,Q6,U6,Y6,AF6,AJ6,AN6,U6,AY6,BC6)</f>
        <v>2947611</v>
      </c>
      <c r="BK6" s="54">
        <f>SUM(C6,G6,K6,R6,V6,Z6,AG6,AK6,AO6,V6,AZ6,BD6)</f>
        <v>1839092</v>
      </c>
      <c r="BL6" s="145">
        <f>SUM(D6,H6,L6,S6,W6,AA6,AH6,AL6,AP6,W6,BA6,BE6)</f>
        <v>2302989</v>
      </c>
      <c r="BM6" s="32">
        <f>(BL6-BK6)/BK6</f>
        <v>0.2522424109288714</v>
      </c>
    </row>
    <row r="7" spans="1:67" s="51" customFormat="1">
      <c r="A7" s="18" t="s">
        <v>139</v>
      </c>
      <c r="B7" s="312">
        <v>780019</v>
      </c>
      <c r="C7" s="312">
        <v>843320</v>
      </c>
      <c r="D7" s="312">
        <v>856279</v>
      </c>
      <c r="E7" s="313">
        <f>(D7-C7)/C7</f>
        <v>1.5366646112982024E-2</v>
      </c>
      <c r="F7" s="312">
        <v>886615</v>
      </c>
      <c r="G7" s="312">
        <v>1004082</v>
      </c>
      <c r="H7" s="312">
        <v>933965</v>
      </c>
      <c r="I7" s="313">
        <f>(H7-G7)/G7</f>
        <v>-6.9831945996442518E-2</v>
      </c>
      <c r="J7" s="312">
        <v>1116533</v>
      </c>
      <c r="K7" s="312">
        <v>725245</v>
      </c>
      <c r="L7" s="312">
        <v>1232666</v>
      </c>
      <c r="M7" s="53">
        <f t="shared" ref="M7:M8" si="0">SUM(B7,F7,J7)</f>
        <v>2783167</v>
      </c>
      <c r="N7" s="53">
        <f t="shared" ref="N7:N8" si="1">SUM(C7,G7,K7)</f>
        <v>2572647</v>
      </c>
      <c r="O7" s="53">
        <f t="shared" ref="O7:O8" si="2">SUM(D7,H7,L7)</f>
        <v>3022910</v>
      </c>
      <c r="P7" s="49">
        <f>(L7-K7)/K7</f>
        <v>0.69965459948017561</v>
      </c>
      <c r="Q7" s="312">
        <v>931658</v>
      </c>
      <c r="R7" s="53">
        <v>548904</v>
      </c>
      <c r="S7" s="53">
        <v>1168077</v>
      </c>
      <c r="T7" s="49">
        <f t="shared" ref="T7:T9" si="3">(S7-R7)/R7</f>
        <v>1.1280169209916489</v>
      </c>
      <c r="U7" s="53">
        <v>1127196</v>
      </c>
      <c r="V7" s="53">
        <v>860560</v>
      </c>
      <c r="W7" s="53">
        <v>1196040</v>
      </c>
      <c r="X7" s="49">
        <f t="shared" ref="X7:X9" si="4">(W7-V7)/V7</f>
        <v>0.38983917449102912</v>
      </c>
      <c r="Y7" s="53">
        <v>1070464</v>
      </c>
      <c r="Z7" s="53">
        <v>849806</v>
      </c>
      <c r="AA7" s="53">
        <v>986101</v>
      </c>
      <c r="AB7" s="53">
        <f t="shared" ref="AB7:AC9" si="5">SUM(Q7,U7,Y7)</f>
        <v>3129318</v>
      </c>
      <c r="AC7" s="53">
        <f t="shared" si="5"/>
        <v>2259270</v>
      </c>
      <c r="AD7" s="53">
        <f t="shared" ref="AD7:AD9" si="6">SUM(S7,W7,AA7)</f>
        <v>3350218</v>
      </c>
      <c r="AE7" s="49">
        <f t="shared" ref="AE7:AE9" si="7">(AA7-Z7)/Z7</f>
        <v>0.16038366403626239</v>
      </c>
      <c r="AF7" s="49"/>
      <c r="AG7" s="53"/>
      <c r="AH7" s="53"/>
      <c r="AI7" s="49"/>
      <c r="AJ7" s="49"/>
      <c r="AK7" s="53"/>
      <c r="AL7" s="53"/>
      <c r="AM7" s="49"/>
      <c r="AN7" s="49"/>
      <c r="AO7" s="53"/>
      <c r="AP7" s="53"/>
      <c r="AQ7" s="53"/>
      <c r="AR7" s="53"/>
      <c r="AS7" s="53"/>
      <c r="AT7" s="49"/>
      <c r="AU7" s="49"/>
      <c r="AV7" s="53"/>
      <c r="AW7" s="53"/>
      <c r="AX7" s="49"/>
      <c r="AY7" s="49"/>
      <c r="AZ7" s="53"/>
      <c r="BA7" s="53"/>
      <c r="BB7" s="49"/>
      <c r="BC7" s="49"/>
      <c r="BD7" s="155"/>
      <c r="BE7" s="53"/>
      <c r="BF7" s="53"/>
      <c r="BG7" s="53"/>
      <c r="BH7" s="53"/>
      <c r="BI7" s="49"/>
      <c r="BJ7" s="145">
        <f t="shared" ref="BJ7:BJ9" si="8">SUM(B7,F7,J7,Q7,U7,Y7,AF7,AJ7,AN7,U7,AY7,BC7)</f>
        <v>7039681</v>
      </c>
      <c r="BK7" s="145">
        <f>SUM(C7,G7,K7,R7,V7,Z7,AG7,AK7,AO7,V7,AZ7,BD7)</f>
        <v>5692477</v>
      </c>
      <c r="BL7" s="145">
        <f>SUM(D7,H7,L7,S7,W7,AA7,AH7,AL7,AP7,W7,BA7,BE7)</f>
        <v>7569168</v>
      </c>
      <c r="BM7" s="59">
        <f>(BL7-BK7)/BK7</f>
        <v>0.32967915373219775</v>
      </c>
    </row>
    <row r="8" spans="1:67">
      <c r="A8" s="18" t="s">
        <v>142</v>
      </c>
      <c r="B8" s="312">
        <v>38338</v>
      </c>
      <c r="C8" s="312">
        <v>31897</v>
      </c>
      <c r="D8" s="312">
        <v>35430</v>
      </c>
      <c r="E8" s="313">
        <f>(D8-C8)/C8</f>
        <v>0.11076276765840047</v>
      </c>
      <c r="F8" s="312">
        <v>36765</v>
      </c>
      <c r="G8" s="312">
        <v>33144</v>
      </c>
      <c r="H8" s="312">
        <v>32940</v>
      </c>
      <c r="I8" s="313">
        <f t="shared" ref="I8:I9" si="9">(H8-G8)/G8</f>
        <v>-6.1549601737871107E-3</v>
      </c>
      <c r="J8" s="312">
        <v>43935</v>
      </c>
      <c r="K8" s="312">
        <v>33363</v>
      </c>
      <c r="L8" s="312">
        <v>45606</v>
      </c>
      <c r="M8" s="53">
        <f t="shared" si="0"/>
        <v>119038</v>
      </c>
      <c r="N8" s="53">
        <f t="shared" si="1"/>
        <v>98404</v>
      </c>
      <c r="O8" s="53">
        <f t="shared" si="2"/>
        <v>113976</v>
      </c>
      <c r="P8" s="49">
        <f t="shared" ref="P8:P9" si="10">(L8-K8)/K8</f>
        <v>0.36696340257171117</v>
      </c>
      <c r="Q8" s="312">
        <v>46141</v>
      </c>
      <c r="R8" s="31">
        <v>27954</v>
      </c>
      <c r="S8" s="31">
        <v>38737</v>
      </c>
      <c r="T8" s="49">
        <f t="shared" si="3"/>
        <v>0.38574085998425983</v>
      </c>
      <c r="U8" s="53">
        <v>46595</v>
      </c>
      <c r="V8" s="31">
        <v>23616</v>
      </c>
      <c r="W8" s="31">
        <v>38316</v>
      </c>
      <c r="X8" s="49">
        <f t="shared" si="4"/>
        <v>0.62245934959349591</v>
      </c>
      <c r="Y8" s="53">
        <v>45073</v>
      </c>
      <c r="Z8" s="31">
        <v>30405</v>
      </c>
      <c r="AA8" s="53">
        <v>40784</v>
      </c>
      <c r="AB8" s="53">
        <f t="shared" si="5"/>
        <v>137809</v>
      </c>
      <c r="AC8" s="53">
        <f t="shared" si="5"/>
        <v>81975</v>
      </c>
      <c r="AD8" s="53">
        <f t="shared" si="6"/>
        <v>117837</v>
      </c>
      <c r="AE8" s="49">
        <f t="shared" si="7"/>
        <v>0.34135832922216741</v>
      </c>
      <c r="AF8" s="49"/>
      <c r="AG8" s="31"/>
      <c r="AH8" s="10"/>
      <c r="AI8" s="19"/>
      <c r="AJ8" s="19"/>
      <c r="AK8" s="31"/>
      <c r="AL8" s="10"/>
      <c r="AM8" s="19"/>
      <c r="AN8" s="19"/>
      <c r="AO8" s="31"/>
      <c r="AP8" s="10"/>
      <c r="AQ8" s="52"/>
      <c r="AR8" s="52"/>
      <c r="AS8" s="52"/>
      <c r="AT8" s="19"/>
      <c r="AU8" s="19"/>
      <c r="AV8" s="31"/>
      <c r="AW8" s="10"/>
      <c r="AX8" s="10"/>
      <c r="AY8" s="52"/>
      <c r="AZ8" s="31"/>
      <c r="BA8" s="53"/>
      <c r="BB8" s="19"/>
      <c r="BC8" s="19"/>
      <c r="BD8" s="35"/>
      <c r="BE8" s="10"/>
      <c r="BF8" s="52"/>
      <c r="BG8" s="52"/>
      <c r="BH8" s="52"/>
      <c r="BI8" s="19"/>
      <c r="BJ8" s="145">
        <f t="shared" si="8"/>
        <v>303442</v>
      </c>
      <c r="BK8" s="54">
        <f>C8+G8+K8+R8+V8+Z8+AG8+AK8+AO8+AV8+AZ8+BD8</f>
        <v>180379</v>
      </c>
      <c r="BL8" s="54">
        <f>D8+H8+L8+S8+W8+AA8+AH8+AL8+AP8+AW8+BA8+BE8</f>
        <v>231813</v>
      </c>
      <c r="BM8" s="32">
        <f>(BL8-BK8)/BK8</f>
        <v>0.28514405778943225</v>
      </c>
    </row>
    <row r="9" spans="1:67" s="9" customFormat="1">
      <c r="A9" s="36" t="s">
        <v>7</v>
      </c>
      <c r="B9" s="145">
        <f>SUM(B6:B8)</f>
        <v>1172004</v>
      </c>
      <c r="C9" s="15">
        <f>SUM(C6:C8)</f>
        <v>1168457</v>
      </c>
      <c r="D9" s="15">
        <f>SUM(D6:D8)</f>
        <v>1141528</v>
      </c>
      <c r="E9" s="50">
        <f>(D9-C9)/C9</f>
        <v>-2.3046633295020699E-2</v>
      </c>
      <c r="F9" s="289">
        <f>SUM(F6:F8)</f>
        <v>1288921</v>
      </c>
      <c r="G9" s="289">
        <f>SUM(G6:G8)</f>
        <v>1383714</v>
      </c>
      <c r="H9" s="15">
        <f>SUM(H6:H8)</f>
        <v>1225842</v>
      </c>
      <c r="I9" s="50">
        <f t="shared" si="9"/>
        <v>-0.11409294117136923</v>
      </c>
      <c r="J9" s="289">
        <f t="shared" ref="J9:O9" si="11">SUM(J6:J8)</f>
        <v>1643423</v>
      </c>
      <c r="K9" s="289">
        <f t="shared" si="11"/>
        <v>1023317</v>
      </c>
      <c r="L9" s="289">
        <f t="shared" si="11"/>
        <v>1640936</v>
      </c>
      <c r="M9" s="145">
        <f>SUM(M6:M8)</f>
        <v>4104348</v>
      </c>
      <c r="N9" s="145">
        <f t="shared" si="11"/>
        <v>3575488</v>
      </c>
      <c r="O9" s="145">
        <f t="shared" si="11"/>
        <v>4008306</v>
      </c>
      <c r="P9" s="50">
        <f t="shared" si="10"/>
        <v>0.6035461152311552</v>
      </c>
      <c r="Q9" s="347">
        <f>SUM(Q6:Q8)</f>
        <v>1373379</v>
      </c>
      <c r="R9" s="347">
        <f>SUM(R6:R8)</f>
        <v>743276</v>
      </c>
      <c r="S9" s="15">
        <f>SUM(S6:S8)</f>
        <v>1557316</v>
      </c>
      <c r="T9" s="50">
        <f t="shared" si="3"/>
        <v>1.0952055494863282</v>
      </c>
      <c r="U9" s="145">
        <f>SUM(U6:U8)</f>
        <v>1628757</v>
      </c>
      <c r="V9" s="145">
        <f>SUM(V6:V8)</f>
        <v>1142705</v>
      </c>
      <c r="W9" s="15">
        <f>SUM(W6:W8)</f>
        <v>1620381</v>
      </c>
      <c r="X9" s="49">
        <f t="shared" si="4"/>
        <v>0.41802214919861208</v>
      </c>
      <c r="Y9" s="145">
        <f>SUM(Y6:Y8)</f>
        <v>1555493</v>
      </c>
      <c r="Z9" s="145">
        <f>SUM(Z6:Z8)</f>
        <v>1131390</v>
      </c>
      <c r="AA9" s="54">
        <f>SUM(AA6:AA8)</f>
        <v>1335902</v>
      </c>
      <c r="AB9" s="145">
        <f t="shared" si="5"/>
        <v>4557629</v>
      </c>
      <c r="AC9" s="145">
        <f t="shared" si="5"/>
        <v>3017371</v>
      </c>
      <c r="AD9" s="145">
        <f t="shared" si="6"/>
        <v>4513599</v>
      </c>
      <c r="AE9" s="50">
        <f t="shared" si="7"/>
        <v>0.18076171788684714</v>
      </c>
      <c r="AF9" s="50"/>
      <c r="AG9" s="54"/>
      <c r="AH9" s="54"/>
      <c r="AI9" s="50"/>
      <c r="AJ9" s="50"/>
      <c r="AK9" s="54"/>
      <c r="AL9" s="54"/>
      <c r="AM9" s="50"/>
      <c r="AN9" s="50"/>
      <c r="AO9" s="54"/>
      <c r="AP9" s="54"/>
      <c r="AQ9" s="145"/>
      <c r="AR9" s="145"/>
      <c r="AS9" s="145"/>
      <c r="AT9" s="50"/>
      <c r="AU9" s="50"/>
      <c r="AV9" s="54"/>
      <c r="AW9" s="54"/>
      <c r="AX9" s="50"/>
      <c r="AY9" s="50"/>
      <c r="AZ9" s="54"/>
      <c r="BA9" s="54"/>
      <c r="BB9" s="50"/>
      <c r="BC9" s="50"/>
      <c r="BD9" s="145"/>
      <c r="BE9" s="145"/>
      <c r="BF9" s="145"/>
      <c r="BG9" s="145"/>
      <c r="BH9" s="145"/>
      <c r="BI9" s="50"/>
      <c r="BJ9" s="145">
        <f t="shared" si="8"/>
        <v>10290734</v>
      </c>
      <c r="BK9" s="54">
        <f>SUM(C9,G9,K9,R9,V9,Z9,AG9,AK9,AO9,AV9,AZ9,BD9)</f>
        <v>6592859</v>
      </c>
      <c r="BL9" s="145">
        <f>SUM(D9,H9,L9,S9,W9,AA9,AH9,AL9,AP9,AW9,BA9,BE9)</f>
        <v>8521905</v>
      </c>
      <c r="BM9" s="30">
        <f>(BL9-BK9)/BK9</f>
        <v>0.2925962772751548</v>
      </c>
      <c r="BO9" s="20"/>
    </row>
    <row r="11" spans="1:67">
      <c r="A11" s="21" t="s">
        <v>140</v>
      </c>
      <c r="F11" s="142"/>
    </row>
    <row r="12" spans="1:67">
      <c r="D12" s="311"/>
      <c r="E12" s="311"/>
      <c r="F12" s="311"/>
      <c r="M12" s="309"/>
      <c r="N12" s="309"/>
      <c r="O12" s="309"/>
      <c r="S12" s="311"/>
      <c r="T12" s="311"/>
      <c r="U12" s="311"/>
      <c r="BK12" s="142"/>
    </row>
    <row r="13" spans="1:67">
      <c r="B13" s="308"/>
      <c r="C13" s="308"/>
      <c r="D13" s="311"/>
      <c r="E13" s="311"/>
      <c r="F13" s="311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11"/>
      <c r="T13" s="311"/>
      <c r="U13" s="311"/>
    </row>
    <row r="14" spans="1:67">
      <c r="A14" s="316"/>
      <c r="B14" s="310"/>
      <c r="C14" s="311"/>
      <c r="D14" s="311"/>
      <c r="E14" s="311"/>
      <c r="F14" s="311"/>
      <c r="G14" s="311"/>
      <c r="H14" s="311"/>
      <c r="I14" s="311"/>
      <c r="J14" s="308"/>
      <c r="K14" s="311"/>
      <c r="L14" s="311"/>
      <c r="M14" s="311"/>
      <c r="N14" s="308"/>
      <c r="O14" s="311"/>
      <c r="P14" s="311"/>
      <c r="Q14" s="311"/>
      <c r="R14" s="311"/>
      <c r="S14" s="311"/>
      <c r="T14" s="311"/>
      <c r="U14" s="311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</row>
    <row r="15" spans="1:67">
      <c r="A15" s="316"/>
      <c r="B15" s="310"/>
      <c r="C15" s="311"/>
      <c r="D15" s="309"/>
      <c r="E15" s="309"/>
      <c r="F15" s="309"/>
      <c r="G15" s="311"/>
      <c r="H15" s="311"/>
      <c r="I15" s="311"/>
      <c r="J15" s="308"/>
      <c r="K15" s="311"/>
      <c r="L15" s="311"/>
      <c r="M15" s="311"/>
      <c r="N15" s="308"/>
      <c r="O15" s="311"/>
      <c r="P15" s="311"/>
      <c r="Q15" s="311"/>
      <c r="R15" s="311"/>
      <c r="S15" s="309"/>
      <c r="T15" s="309"/>
      <c r="U15" s="309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</row>
    <row r="16" spans="1:67">
      <c r="A16" s="307"/>
      <c r="B16" s="345"/>
      <c r="C16" s="345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</row>
    <row r="17" spans="1:31">
      <c r="A17" s="310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</row>
    <row r="18" spans="1:31">
      <c r="A18" s="310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311"/>
      <c r="AD18" s="311"/>
      <c r="AE18" s="311"/>
    </row>
    <row r="19" spans="1:31">
      <c r="A19" s="346"/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</row>
    <row r="20" spans="1:31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8"/>
      <c r="AD20" s="308"/>
      <c r="AE20" s="308"/>
    </row>
    <row r="21" spans="1:31">
      <c r="A21" s="310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</row>
    <row r="22" spans="1:31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  <c r="AB22" s="308"/>
      <c r="AC22" s="308"/>
      <c r="AD22" s="308"/>
      <c r="AE22" s="308"/>
    </row>
    <row r="23" spans="1:31">
      <c r="A23" s="307"/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</row>
    <row r="24" spans="1:31">
      <c r="A24" s="308"/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  <c r="AC24" s="308"/>
      <c r="AD24" s="308"/>
      <c r="AE24" s="308"/>
    </row>
    <row r="25" spans="1:31">
      <c r="A25" s="434"/>
      <c r="B25" s="434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  <c r="AC25" s="308"/>
      <c r="AD25" s="308"/>
      <c r="AE25" s="308"/>
    </row>
    <row r="26" spans="1:31">
      <c r="A26" s="316"/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45"/>
      <c r="V26" s="345"/>
      <c r="W26" s="316"/>
      <c r="X26" s="316"/>
      <c r="Y26" s="316"/>
      <c r="Z26" s="316"/>
      <c r="AA26" s="316"/>
      <c r="AB26" s="316"/>
      <c r="AC26" s="316"/>
      <c r="AD26" s="316"/>
      <c r="AE26" s="316"/>
    </row>
    <row r="27" spans="1:31">
      <c r="A27" s="316"/>
      <c r="B27" s="316"/>
      <c r="C27" s="316"/>
      <c r="D27" s="316"/>
      <c r="E27" s="316"/>
      <c r="F27" s="316"/>
      <c r="G27" s="316"/>
      <c r="H27" s="316"/>
      <c r="I27" s="316"/>
      <c r="J27" s="316"/>
      <c r="K27" s="316"/>
      <c r="L27" s="316"/>
      <c r="M27" s="316"/>
      <c r="N27" s="316"/>
      <c r="O27" s="316"/>
      <c r="P27" s="316"/>
      <c r="Q27" s="316"/>
      <c r="R27" s="316"/>
      <c r="S27" s="316"/>
      <c r="T27" s="316"/>
      <c r="U27" s="311"/>
      <c r="V27" s="311"/>
      <c r="W27" s="316"/>
      <c r="X27" s="316"/>
      <c r="Y27" s="316"/>
      <c r="Z27" s="316"/>
      <c r="AA27" s="316"/>
      <c r="AB27" s="316"/>
      <c r="AC27" s="316"/>
      <c r="AD27" s="316"/>
      <c r="AE27" s="316"/>
    </row>
    <row r="28" spans="1:31">
      <c r="U28" s="311"/>
      <c r="V28" s="311"/>
    </row>
    <row r="29" spans="1:31">
      <c r="U29" s="346"/>
      <c r="V29" s="346"/>
    </row>
    <row r="30" spans="1:31">
      <c r="U30" s="308"/>
      <c r="V30" s="308"/>
    </row>
    <row r="31" spans="1:31">
      <c r="U31" s="311"/>
      <c r="V31" s="311"/>
    </row>
    <row r="32" spans="1:31">
      <c r="U32" s="308"/>
      <c r="V32" s="308"/>
    </row>
    <row r="33" spans="21:22">
      <c r="U33" s="309"/>
      <c r="V33" s="309"/>
    </row>
    <row r="34" spans="21:22">
      <c r="U34" s="308"/>
      <c r="V34" s="308"/>
    </row>
  </sheetData>
  <mergeCells count="19">
    <mergeCell ref="A25:B25"/>
    <mergeCell ref="B4:D4"/>
    <mergeCell ref="F4:H4"/>
    <mergeCell ref="Q4:S4"/>
    <mergeCell ref="J4:L4"/>
    <mergeCell ref="U4:W4"/>
    <mergeCell ref="M4:O4"/>
    <mergeCell ref="AU4:AW4"/>
    <mergeCell ref="AY4:BA4"/>
    <mergeCell ref="BM4:BM5"/>
    <mergeCell ref="Y4:AA4"/>
    <mergeCell ref="BC4:BE4"/>
    <mergeCell ref="AB4:AD4"/>
    <mergeCell ref="AQ4:AS4"/>
    <mergeCell ref="BF4:BH4"/>
    <mergeCell ref="AF4:AH4"/>
    <mergeCell ref="AJ4:AL4"/>
    <mergeCell ref="AN4:AP4"/>
    <mergeCell ref="BJ4:BL4"/>
  </mergeCells>
  <pageMargins left="0.7" right="0.7" top="0.75" bottom="0.75" header="0.3" footer="0.3"/>
  <pageSetup paperSize="9" orientation="portrait" r:id="rId1"/>
  <ignoredErrors>
    <ignoredError sqref="BM8 E6:E7 BM6 E8 I6:I8" evalError="1"/>
    <ignoredError sqref="B9:C9 F9:H9 J9:L9 D9 R9:S9 V9:W9 Z9:AA9 Q9 U9 Y9" formulaRange="1"/>
    <ignoredError sqref="E9 I9" evalError="1" formula="1"/>
    <ignoredError sqref="P9 T9 X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Sales registrations</vt:lpstr>
      <vt:lpstr>Australia</vt:lpstr>
      <vt:lpstr>Austria</vt:lpstr>
      <vt:lpstr>Belgium</vt:lpstr>
      <vt:lpstr>Brazil</vt:lpstr>
      <vt:lpstr>Bulgaria</vt:lpstr>
      <vt:lpstr>China</vt:lpstr>
      <vt:lpstr>Croatia</vt:lpstr>
      <vt:lpstr>Finland</vt:lpstr>
      <vt:lpstr>France</vt:lpstr>
      <vt:lpstr>Germany</vt:lpstr>
      <vt:lpstr>India </vt:lpstr>
      <vt:lpstr>Indonesia</vt:lpstr>
      <vt:lpstr>Israel</vt:lpstr>
      <vt:lpstr>Italy</vt:lpstr>
      <vt:lpstr>Japan </vt:lpstr>
      <vt:lpstr>Kazakhstan</vt:lpstr>
      <vt:lpstr>Korea</vt:lpstr>
      <vt:lpstr>Netherlands</vt:lpstr>
      <vt:lpstr>Norway</vt:lpstr>
      <vt:lpstr>Portugal</vt:lpstr>
      <vt:lpstr>Romania</vt:lpstr>
      <vt:lpstr>Russia</vt:lpstr>
      <vt:lpstr>South Africa</vt:lpstr>
      <vt:lpstr>Spain</vt:lpstr>
      <vt:lpstr>Sweden</vt:lpstr>
      <vt:lpstr>Switzerland</vt:lpstr>
      <vt:lpstr>Thailand</vt:lpstr>
      <vt:lpstr>Turkey</vt:lpstr>
      <vt:lpstr>UK</vt:lpstr>
      <vt:lpstr>Ukraine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Jocelyne Nziendolo</dc:creator>
  <cp:lastModifiedBy>Jocelyne Nziendolo</cp:lastModifiedBy>
  <cp:lastPrinted>2021-09-02T13:04:03Z</cp:lastPrinted>
  <dcterms:created xsi:type="dcterms:W3CDTF">2020-06-15T08:07:35Z</dcterms:created>
  <dcterms:modified xsi:type="dcterms:W3CDTF">2021-09-07T09:27:39Z</dcterms:modified>
</cp:coreProperties>
</file>